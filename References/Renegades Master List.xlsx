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Ship List" sheetId="2" r:id="rId6"/>
    <sheet state="visible" name="Laser List" sheetId="3" r:id="rId7"/>
    <sheet state="visible" name="Missile List" sheetId="4" r:id="rId8"/>
    <sheet state="visible" name="Factory Stats" sheetId="5" r:id="rId9"/>
    <sheet state="visible" name="Pivot Table Ship Stats" sheetId="6" r:id="rId10"/>
    <sheet state="visible" name="Pivot Table Laser Stats" sheetId="7" r:id="rId11"/>
  </sheets>
  <definedNames/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<sst xmlns="http://schemas.openxmlformats.org/spreadsheetml/2006/main" count="2253" uniqueCount="607">
  <si>
    <t>LAST UPDATED</t>
  </si>
  <si>
    <t>VERSION</t>
  </si>
  <si>
    <t>Renegades AddOns</t>
  </si>
  <si>
    <t>1.9.4</t>
  </si>
  <si>
    <t>by herobetty</t>
  </si>
  <si>
    <t>INSTRUCTIONS</t>
  </si>
  <si>
    <t>Find the raw data in the Ship List, Laser List, Missile List and Factory Stats. These tables have been locked since the data generally doesn't change until it does.</t>
  </si>
  <si>
    <t>Use the Pivot Tables to select specific classes, factions and to access sorting options.</t>
  </si>
  <si>
    <t>To get full access to the table, use Documents -&gt; Make a Copy for your own version of this file.</t>
  </si>
  <si>
    <r>
      <rPr/>
      <t xml:space="preserve">This file is a companion to my full guide, </t>
    </r>
    <r>
      <rPr>
        <color rgb="FF1155CC"/>
        <u/>
      </rPr>
      <t>https://docs.google.com/document/d/1vGvk6ep9NKC8nDeF0JRwkUZIrjFGmJz5nOSrbyPCkKQ</t>
    </r>
    <r>
      <rPr/>
      <t>.</t>
    </r>
  </si>
  <si>
    <t>Name</t>
  </si>
  <si>
    <t>Class</t>
  </si>
  <si>
    <t>Faction</t>
  </si>
  <si>
    <t>Hull Plating</t>
  </si>
  <si>
    <t>Crystals</t>
  </si>
  <si>
    <t>Computer Components</t>
  </si>
  <si>
    <t>Quantum Tubes</t>
  </si>
  <si>
    <t>Pop</t>
  </si>
  <si>
    <t>Supply</t>
  </si>
  <si>
    <t>Maintenance (cr/cycle)</t>
  </si>
  <si>
    <t>Speed (m/s)</t>
  </si>
  <si>
    <t>Cargo Size</t>
  </si>
  <si>
    <t>Cargo</t>
  </si>
  <si>
    <t>Shield (k)</t>
  </si>
  <si>
    <t>Generator (MW)</t>
  </si>
  <si>
    <t>Hull (k)</t>
  </si>
  <si>
    <t>Turrets</t>
  </si>
  <si>
    <t>Guns</t>
  </si>
  <si>
    <t>Default</t>
  </si>
  <si>
    <t>DPS (k)</t>
  </si>
  <si>
    <t>Agility</t>
  </si>
  <si>
    <t>Docking Int</t>
  </si>
  <si>
    <t>Docking Ext</t>
  </si>
  <si>
    <t>S/H</t>
  </si>
  <si>
    <t>S+H</t>
  </si>
  <si>
    <t>S/Cryst</t>
  </si>
  <si>
    <t>H/Cryst</t>
  </si>
  <si>
    <t>DPS/Cryst</t>
  </si>
  <si>
    <t>S/Supply</t>
  </si>
  <si>
    <t>H/Supply</t>
  </si>
  <si>
    <t>DPS/Supply</t>
  </si>
  <si>
    <t>S/Pop</t>
  </si>
  <si>
    <t>H/Pop</t>
  </si>
  <si>
    <t>DPS/Pop</t>
  </si>
  <si>
    <t>S/Maint</t>
  </si>
  <si>
    <t>H/Maint</t>
  </si>
  <si>
    <t>DPS/Maint</t>
  </si>
  <si>
    <t>Baldric</t>
  </si>
  <si>
    <t>TS</t>
  </si>
  <si>
    <t>Tr</t>
  </si>
  <si>
    <t>XL</t>
  </si>
  <si>
    <t>Baldric Hauler</t>
  </si>
  <si>
    <t>Baldric Miner</t>
  </si>
  <si>
    <t>Bragi</t>
  </si>
  <si>
    <t>Bragi Advanced</t>
  </si>
  <si>
    <t>Caiman</t>
  </si>
  <si>
    <t>S</t>
  </si>
  <si>
    <t>Caiman Hauler</t>
  </si>
  <si>
    <t>Caiman Miner</t>
  </si>
  <si>
    <t>Demeter</t>
  </si>
  <si>
    <t>P</t>
  </si>
  <si>
    <t>Demeter Hauler</t>
  </si>
  <si>
    <t>Demeter Miner</t>
  </si>
  <si>
    <t>Dolphin</t>
  </si>
  <si>
    <t>B</t>
  </si>
  <si>
    <t>Dolphin Hauler</t>
  </si>
  <si>
    <t>Dolphin Miner</t>
  </si>
  <si>
    <t>Drake</t>
  </si>
  <si>
    <t>Drake Advanced</t>
  </si>
  <si>
    <t>F</t>
  </si>
  <si>
    <t>X</t>
  </si>
  <si>
    <t>F Miner</t>
  </si>
  <si>
    <t>Lotan</t>
  </si>
  <si>
    <t>A</t>
  </si>
  <si>
    <t>Mercury</t>
  </si>
  <si>
    <t>Mercury Miner</t>
  </si>
  <si>
    <t>Mistral</t>
  </si>
  <si>
    <t>Nexus</t>
  </si>
  <si>
    <t>Nexus Miner</t>
  </si>
  <si>
    <t>Orinoco</t>
  </si>
  <si>
    <t>Orinoco Advanced</t>
  </si>
  <si>
    <t>Phanon Freighter Type-A</t>
  </si>
  <si>
    <t>Ph</t>
  </si>
  <si>
    <t>Phanon Freighter Type-A Miner</t>
  </si>
  <si>
    <t>Phanon Freighter Type-B</t>
  </si>
  <si>
    <t>Phanon Freighter Type-B Miner</t>
  </si>
  <si>
    <t>Snotra</t>
  </si>
  <si>
    <t>Snotra Advanced</t>
  </si>
  <si>
    <t>Sturgeon</t>
  </si>
  <si>
    <t>Sturgeon Advanced</t>
  </si>
  <si>
    <t>Vulture</t>
  </si>
  <si>
    <t>Td</t>
  </si>
  <si>
    <t>Y</t>
  </si>
  <si>
    <t>Vulture Hauler</t>
  </si>
  <si>
    <t>Vulture Miner</t>
  </si>
  <si>
    <t>Angel</t>
  </si>
  <si>
    <t>TP</t>
  </si>
  <si>
    <t>L</t>
  </si>
  <si>
    <t>Angel Advanced</t>
  </si>
  <si>
    <t>Express</t>
  </si>
  <si>
    <t>Hermes</t>
  </si>
  <si>
    <t>Iguana</t>
  </si>
  <si>
    <t>Magnir</t>
  </si>
  <si>
    <t>Magnir Advanced</t>
  </si>
  <si>
    <t>Manta</t>
  </si>
  <si>
    <t>Naucell</t>
  </si>
  <si>
    <t>Naucell Advanced</t>
  </si>
  <si>
    <t>Nomad</t>
  </si>
  <si>
    <t>Nomad Advanced</t>
  </si>
  <si>
    <t>Phanon Shuttle</t>
  </si>
  <si>
    <t>Scabbard</t>
  </si>
  <si>
    <t>Toucan</t>
  </si>
  <si>
    <t>Akurei</t>
  </si>
  <si>
    <t>TM</t>
  </si>
  <si>
    <t>Boa</t>
  </si>
  <si>
    <t>Boa Hauler</t>
  </si>
  <si>
    <t>Caravel</t>
  </si>
  <si>
    <t>Chokaro</t>
  </si>
  <si>
    <t>Chokaro Advanced</t>
  </si>
  <si>
    <t>Helios</t>
  </si>
  <si>
    <t>Helios Hauler</t>
  </si>
  <si>
    <t>Lofn</t>
  </si>
  <si>
    <t>Lofn Advanced</t>
  </si>
  <si>
    <t>Mangetar</t>
  </si>
  <si>
    <t>Pelican</t>
  </si>
  <si>
    <t>Pelican Hauler</t>
  </si>
  <si>
    <t>Phanon Salvage Ship</t>
  </si>
  <si>
    <t>Pleco</t>
  </si>
  <si>
    <t>Pleco Hauler</t>
  </si>
  <si>
    <t>Zephyrus</t>
  </si>
  <si>
    <t>Zephyrus Advanced</t>
  </si>
  <si>
    <t>Albatross</t>
  </si>
  <si>
    <t>TL</t>
  </si>
  <si>
    <t>ST</t>
  </si>
  <si>
    <t>Elephant</t>
  </si>
  <si>
    <t>Hercules</t>
  </si>
  <si>
    <t>Mammoth</t>
  </si>
  <si>
    <t>Orca</t>
  </si>
  <si>
    <t>Ozias</t>
  </si>
  <si>
    <t>I</t>
  </si>
  <si>
    <t>Phanon Colony Ship</t>
  </si>
  <si>
    <t>Ryu</t>
  </si>
  <si>
    <t>Tepukei</t>
  </si>
  <si>
    <t>U</t>
  </si>
  <si>
    <t>Aquata</t>
  </si>
  <si>
    <t>M8</t>
  </si>
  <si>
    <t>Aquata Vanguard</t>
  </si>
  <si>
    <t>Claymore</t>
  </si>
  <si>
    <t>Claymore Raider</t>
  </si>
  <si>
    <t>Gladiator</t>
  </si>
  <si>
    <t>Gladiator Hauler</t>
  </si>
  <si>
    <t>Hades</t>
  </si>
  <si>
    <t>Hades Raider</t>
  </si>
  <si>
    <t>Peregrine</t>
  </si>
  <si>
    <t>Peregrine Hauler</t>
  </si>
  <si>
    <t>Phanon Missile Corvette</t>
  </si>
  <si>
    <t>Viper</t>
  </si>
  <si>
    <t>Viper Vanguard</t>
  </si>
  <si>
    <t>Acinonyx</t>
  </si>
  <si>
    <t>M7</t>
  </si>
  <si>
    <t>Aegir</t>
  </si>
  <si>
    <t>Agamemnon</t>
  </si>
  <si>
    <t>Auster</t>
  </si>
  <si>
    <t>C</t>
  </si>
  <si>
    <t>Carrack</t>
  </si>
  <si>
    <t>Cikyu</t>
  </si>
  <si>
    <t>Coelacanth</t>
  </si>
  <si>
    <t>G</t>
  </si>
  <si>
    <t>O</t>
  </si>
  <si>
    <t>Geochen</t>
  </si>
  <si>
    <t>Guardian</t>
  </si>
  <si>
    <t>K</t>
  </si>
  <si>
    <t>Kariudo</t>
  </si>
  <si>
    <t>Krait</t>
  </si>
  <si>
    <t>Kvasir</t>
  </si>
  <si>
    <t>Mandalay</t>
  </si>
  <si>
    <t>Marauder</t>
  </si>
  <si>
    <t>Phanon Frigate Type-A</t>
  </si>
  <si>
    <t>Phanon Frigate Type-B</t>
  </si>
  <si>
    <t>Phanon Frigate Type-D</t>
  </si>
  <si>
    <t>Phanon Frigate Type-E</t>
  </si>
  <si>
    <t>Phanon Frigate Type-F</t>
  </si>
  <si>
    <t>Q</t>
  </si>
  <si>
    <t>R</t>
  </si>
  <si>
    <t>Raven</t>
  </si>
  <si>
    <t>Thresher</t>
  </si>
  <si>
    <t>Tiger</t>
  </si>
  <si>
    <t>Washi</t>
  </si>
  <si>
    <t>Yokohama</t>
  </si>
  <si>
    <t>Ariadne</t>
  </si>
  <si>
    <t>M7C</t>
  </si>
  <si>
    <t>Cerberus</t>
  </si>
  <si>
    <t>Deimos</t>
  </si>
  <si>
    <t>Griffon</t>
  </si>
  <si>
    <t>H</t>
  </si>
  <si>
    <t>Hayabusa</t>
  </si>
  <si>
    <t>Panther</t>
  </si>
  <si>
    <t>Segaris</t>
  </si>
  <si>
    <t>Shrike</t>
  </si>
  <si>
    <t>Tern</t>
  </si>
  <si>
    <t>Aquilo</t>
  </si>
  <si>
    <t>M7M</t>
  </si>
  <si>
    <t>Ares</t>
  </si>
  <si>
    <t>Cobra</t>
  </si>
  <si>
    <t>Gannet</t>
  </si>
  <si>
    <t>Kraken</t>
  </si>
  <si>
    <t>Minotaur</t>
  </si>
  <si>
    <t>Phanon Frigate Type-C</t>
  </si>
  <si>
    <t>Skirnir</t>
  </si>
  <si>
    <t>#deca.fade</t>
  </si>
  <si>
    <t>M5</t>
  </si>
  <si>
    <t>M</t>
  </si>
  <si>
    <t>Discoverer</t>
  </si>
  <si>
    <t>Discoverer Hauler</t>
  </si>
  <si>
    <t>Discoverer Raider</t>
  </si>
  <si>
    <t>Fujin</t>
  </si>
  <si>
    <t>Fujin Hauler</t>
  </si>
  <si>
    <t>Fujin Raider</t>
  </si>
  <si>
    <t>Harrier</t>
  </si>
  <si>
    <t>Harrier Hauler</t>
  </si>
  <si>
    <t>Harrier Raider</t>
  </si>
  <si>
    <t>Jaguar</t>
  </si>
  <si>
    <t>Jaguar Hauler</t>
  </si>
  <si>
    <t>Jaguar Raider</t>
  </si>
  <si>
    <t>Kestrel</t>
  </si>
  <si>
    <t>Mani</t>
  </si>
  <si>
    <t>N</t>
  </si>
  <si>
    <t>Octopus</t>
  </si>
  <si>
    <t>Octopus Hauler</t>
  </si>
  <si>
    <t>Octopus Raider</t>
  </si>
  <si>
    <t>Pegasus</t>
  </si>
  <si>
    <t>Pegasus Hauler</t>
  </si>
  <si>
    <t>Pegasus Raider</t>
  </si>
  <si>
    <t>Ranger</t>
  </si>
  <si>
    <t>Rapier</t>
  </si>
  <si>
    <t>Scout</t>
  </si>
  <si>
    <t>Valkyrie</t>
  </si>
  <si>
    <t>#deca.deaf</t>
  </si>
  <si>
    <t>M4</t>
  </si>
  <si>
    <t>Asp</t>
  </si>
  <si>
    <t>Buster</t>
  </si>
  <si>
    <t>Buster Hauler</t>
  </si>
  <si>
    <t>Buster Raider</t>
  </si>
  <si>
    <t>Buzzard</t>
  </si>
  <si>
    <t>Buzzard Hauler</t>
  </si>
  <si>
    <t>Buzzard Raider</t>
  </si>
  <si>
    <t>Elite</t>
  </si>
  <si>
    <t>Eurus</t>
  </si>
  <si>
    <t>Guppy</t>
  </si>
  <si>
    <t>Hel</t>
  </si>
  <si>
    <t>Interceptor</t>
  </si>
  <si>
    <t>Kite</t>
  </si>
  <si>
    <t>Mako</t>
  </si>
  <si>
    <t>Mako Hauler</t>
  </si>
  <si>
    <t>Mjollnir</t>
  </si>
  <si>
    <t>OX</t>
  </si>
  <si>
    <t>Pericles</t>
  </si>
  <si>
    <t>Pericles Hauler</t>
  </si>
  <si>
    <t>Pericles Raider</t>
  </si>
  <si>
    <t>Phanon Interceptor</t>
  </si>
  <si>
    <t>Pike</t>
  </si>
  <si>
    <t>Raijin</t>
  </si>
  <si>
    <t>Raijin Hauler</t>
  </si>
  <si>
    <t>Raijin Raider</t>
  </si>
  <si>
    <t>Sabre</t>
  </si>
  <si>
    <t>Scorpion</t>
  </si>
  <si>
    <t>Scorpion Hauler</t>
  </si>
  <si>
    <t>Scorpion Raider</t>
  </si>
  <si>
    <t>Shamshir</t>
  </si>
  <si>
    <t>Solano</t>
  </si>
  <si>
    <t>Theseus</t>
  </si>
  <si>
    <t>Tonbo</t>
  </si>
  <si>
    <t>Akuma</t>
  </si>
  <si>
    <t>M2</t>
  </si>
  <si>
    <t>Astraeus</t>
  </si>
  <si>
    <t>Atlas</t>
  </si>
  <si>
    <t>Bayamon</t>
  </si>
  <si>
    <t>Boreas</t>
  </si>
  <si>
    <t>Brigantine</t>
  </si>
  <si>
    <t>Cormorant</t>
  </si>
  <si>
    <t>Cyclops</t>
  </si>
  <si>
    <t>Destroyer</t>
  </si>
  <si>
    <t>Excalibur</t>
  </si>
  <si>
    <t>Exterminator</t>
  </si>
  <si>
    <t>Forseti</t>
  </si>
  <si>
    <t>Hive Queen</t>
  </si>
  <si>
    <t>Kyoto</t>
  </si>
  <si>
    <t>Megalodon</t>
  </si>
  <si>
    <t>Ocelot</t>
  </si>
  <si>
    <t>Odysseus</t>
  </si>
  <si>
    <t>Osaka</t>
  </si>
  <si>
    <t>Patroclus</t>
  </si>
  <si>
    <t>Phanon Battleship Type-A</t>
  </si>
  <si>
    <t>Phanon Battleship Type-B</t>
  </si>
  <si>
    <t>Phanon Battleship Type-D</t>
  </si>
  <si>
    <t>Phanon Battleship Type-E</t>
  </si>
  <si>
    <t>Phanon Battleship Type-F</t>
  </si>
  <si>
    <t>Phanon Cruiser Type-A</t>
  </si>
  <si>
    <t>Phanon Cruiser Type-C</t>
  </si>
  <si>
    <t>Phanon Cruiser Type-D</t>
  </si>
  <si>
    <t>Phanon Cruiser Type-F</t>
  </si>
  <si>
    <t>Phanon Dreadnought</t>
  </si>
  <si>
    <t>Phanon Titan Type-A</t>
  </si>
  <si>
    <t>Phoenix</t>
  </si>
  <si>
    <t>Pteranodon</t>
  </si>
  <si>
    <t>Python</t>
  </si>
  <si>
    <t>Ray</t>
  </si>
  <si>
    <t>Solaris</t>
  </si>
  <si>
    <t>T</t>
  </si>
  <si>
    <t>Taipan</t>
  </si>
  <si>
    <t>Titan</t>
  </si>
  <si>
    <t>Tobosaku</t>
  </si>
  <si>
    <t>Tyr</t>
  </si>
  <si>
    <t>V</t>
  </si>
  <si>
    <t>Valhalla</t>
  </si>
  <si>
    <t>Z</t>
  </si>
  <si>
    <t>#deca</t>
  </si>
  <si>
    <t>M1</t>
  </si>
  <si>
    <t>Aran</t>
  </si>
  <si>
    <t>Carrier</t>
  </si>
  <si>
    <t>Colossus</t>
  </si>
  <si>
    <t>Condor</t>
  </si>
  <si>
    <t>Emeus</t>
  </si>
  <si>
    <t>Galleon</t>
  </si>
  <si>
    <t>Hoshi</t>
  </si>
  <si>
    <t>J</t>
  </si>
  <si>
    <t>Nagoya</t>
  </si>
  <si>
    <t>Odin</t>
  </si>
  <si>
    <t>Phanon Cruiser Type-B</t>
  </si>
  <si>
    <t>Phanon Cruiser Type-E</t>
  </si>
  <si>
    <t>Phanon Flagship</t>
  </si>
  <si>
    <t>Phanon OWP 1 Starport</t>
  </si>
  <si>
    <t>Phanon OWP 2 Starhold</t>
  </si>
  <si>
    <t>Phanon Science Carrier</t>
  </si>
  <si>
    <t>Polacca</t>
  </si>
  <si>
    <t>Raptor</t>
  </si>
  <si>
    <t>Shark</t>
  </si>
  <si>
    <t>Tokyo</t>
  </si>
  <si>
    <t>Woden</t>
  </si>
  <si>
    <t>Zeus</t>
  </si>
  <si>
    <t>AP Gunner</t>
  </si>
  <si>
    <t>M6</t>
  </si>
  <si>
    <t>Appallox</t>
  </si>
  <si>
    <t>Centaur</t>
  </si>
  <si>
    <t>Corvette</t>
  </si>
  <si>
    <t>Dragon</t>
  </si>
  <si>
    <t>Dragon Sentinel</t>
  </si>
  <si>
    <t>Dragon Vanguard</t>
  </si>
  <si>
    <t>Heavy Centaur</t>
  </si>
  <si>
    <t>Heavy Centaur Advanced</t>
  </si>
  <si>
    <t>Heavy Dragon</t>
  </si>
  <si>
    <t>Heavy Dragon Advanced</t>
  </si>
  <si>
    <t>Heavy Hydra</t>
  </si>
  <si>
    <t>Heavy Hydra Advanced</t>
  </si>
  <si>
    <t>Heavy Nemesis</t>
  </si>
  <si>
    <t>Heavy Nemesis Advanced</t>
  </si>
  <si>
    <t>Heavy Osprey</t>
  </si>
  <si>
    <t>Heavy Osprey Advanced</t>
  </si>
  <si>
    <t>Hydra</t>
  </si>
  <si>
    <t>Hydra Sentinel</t>
  </si>
  <si>
    <t>Hydra Vanguard</t>
  </si>
  <si>
    <t>Hyperion</t>
  </si>
  <si>
    <t>Katana</t>
  </si>
  <si>
    <t>Logich</t>
  </si>
  <si>
    <t>Logich Raider</t>
  </si>
  <si>
    <t>Macana</t>
  </si>
  <si>
    <t>Marlin</t>
  </si>
  <si>
    <t>Marlin Raider</t>
  </si>
  <si>
    <t>Morrigu</t>
  </si>
  <si>
    <t>Nemesis</t>
  </si>
  <si>
    <t>Nemesis Sentinel</t>
  </si>
  <si>
    <t>Nemesis Vanguard</t>
  </si>
  <si>
    <t>Osprey</t>
  </si>
  <si>
    <t>Osprey Hauler</t>
  </si>
  <si>
    <t>Osprey Sentinel</t>
  </si>
  <si>
    <t>Osprey Vanguard</t>
  </si>
  <si>
    <t>P Raider</t>
  </si>
  <si>
    <t>P Sentinel</t>
  </si>
  <si>
    <t>Phanon Corvette Type-A</t>
  </si>
  <si>
    <t>Phanon Corvette Type-B</t>
  </si>
  <si>
    <t>Phanon Corvette Type-C</t>
  </si>
  <si>
    <t>Phantom</t>
  </si>
  <si>
    <t>Proteus</t>
  </si>
  <si>
    <t>Proteus Raider</t>
  </si>
  <si>
    <t>PX</t>
  </si>
  <si>
    <t>Quasar</t>
  </si>
  <si>
    <t>Senshi</t>
  </si>
  <si>
    <t>Senshi Raider</t>
  </si>
  <si>
    <t>Setanta</t>
  </si>
  <si>
    <t>Shuri</t>
  </si>
  <si>
    <t>Sirokos</t>
  </si>
  <si>
    <t>Skiron</t>
  </si>
  <si>
    <t>Springblossom</t>
  </si>
  <si>
    <t>Springblossom Raider</t>
  </si>
  <si>
    <t>Tempestine</t>
  </si>
  <si>
    <t>Toukon</t>
  </si>
  <si>
    <t>Truelight Seeker</t>
  </si>
  <si>
    <t>Vali</t>
  </si>
  <si>
    <t>Vidar</t>
  </si>
  <si>
    <t>#deca.cefa</t>
  </si>
  <si>
    <t>M3</t>
  </si>
  <si>
    <t>Aamon</t>
  </si>
  <si>
    <t>Albion Pride</t>
  </si>
  <si>
    <t>Arrow</t>
  </si>
  <si>
    <t>Barracuda</t>
  </si>
  <si>
    <t>Barracuda Advanced</t>
  </si>
  <si>
    <t>Barracuda Raider</t>
  </si>
  <si>
    <t>Barracuda Sentinel</t>
  </si>
  <si>
    <t>Barracuda Vanguard</t>
  </si>
  <si>
    <t>Blastclaw</t>
  </si>
  <si>
    <t>Chimera</t>
  </si>
  <si>
    <t>Chimera Vanguard</t>
  </si>
  <si>
    <t>Cougar</t>
  </si>
  <si>
    <t>Cougar Raider</t>
  </si>
  <si>
    <t>Cutlass</t>
  </si>
  <si>
    <t>Eclipse</t>
  </si>
  <si>
    <t>Falchion</t>
  </si>
  <si>
    <t>Falcon</t>
  </si>
  <si>
    <t>Falcon Raider</t>
  </si>
  <si>
    <t>Falcon Sentinel</t>
  </si>
  <si>
    <t>Falcon Tanker</t>
  </si>
  <si>
    <t>Falcon Vanguard</t>
  </si>
  <si>
    <t>Fenrir</t>
  </si>
  <si>
    <t>Fighter</t>
  </si>
  <si>
    <t>Kea</t>
  </si>
  <si>
    <t>Kea Advanced</t>
  </si>
  <si>
    <t>Kea Hauler</t>
  </si>
  <si>
    <t>LX</t>
  </si>
  <si>
    <t>Mamba</t>
  </si>
  <si>
    <t>Mamba Advanced</t>
  </si>
  <si>
    <t>Mamba Raider</t>
  </si>
  <si>
    <t>Mamba Sentinel</t>
  </si>
  <si>
    <t>Mamba Vanguard</t>
  </si>
  <si>
    <t>Medusa</t>
  </si>
  <si>
    <t>Medusa Hauler</t>
  </si>
  <si>
    <t>Notus</t>
  </si>
  <si>
    <t>Nova</t>
  </si>
  <si>
    <t>Penatron</t>
  </si>
  <si>
    <t>Perseus</t>
  </si>
  <si>
    <t>Perseus Vanguard</t>
  </si>
  <si>
    <t>Perseus Raider</t>
  </si>
  <si>
    <t>Perseus Sentinel</t>
  </si>
  <si>
    <t>Phanon Fighter</t>
  </si>
  <si>
    <t>Scimitar</t>
  </si>
  <si>
    <t>Skate</t>
  </si>
  <si>
    <t>Skate Hauler</t>
  </si>
  <si>
    <t>Spitfyre</t>
  </si>
  <si>
    <t>Starburst</t>
  </si>
  <si>
    <t>Susanova</t>
  </si>
  <si>
    <t>Susanova Hauler</t>
  </si>
  <si>
    <t>Susanova Raider</t>
  </si>
  <si>
    <t>Tenjin</t>
  </si>
  <si>
    <t>Tenjin Sentinel</t>
  </si>
  <si>
    <t>Thor</t>
  </si>
  <si>
    <t>Thor Advanced</t>
  </si>
  <si>
    <t>Venti</t>
  </si>
  <si>
    <t>Venti Advanced</t>
  </si>
  <si>
    <t>Verdandi</t>
  </si>
  <si>
    <t>Laser Name</t>
  </si>
  <si>
    <t>Size</t>
  </si>
  <si>
    <t>Cost (Cryst.)</t>
  </si>
  <si>
    <t>Hull DPS</t>
  </si>
  <si>
    <t>Shield DPS</t>
  </si>
  <si>
    <t>DPS</t>
  </si>
  <si>
    <t>H/S ratio</t>
  </si>
  <si>
    <t>RoF (/m)</t>
  </si>
  <si>
    <t>Range (km)</t>
  </si>
  <si>
    <t>Speed (km/s)</t>
  </si>
  <si>
    <t>HDPS/Cost</t>
  </si>
  <si>
    <t>SDPS/Cost</t>
  </si>
  <si>
    <t>Impulse Ray Emitter</t>
  </si>
  <si>
    <t>Particle Accelerator Cannon</t>
  </si>
  <si>
    <t>Mass Driver</t>
  </si>
  <si>
    <t>Alpha Particle Cannon</t>
  </si>
  <si>
    <t>Plasma Gun</t>
  </si>
  <si>
    <t>Phased Repeater Gun</t>
  </si>
  <si>
    <t>Energy Bolt Chaingun</t>
  </si>
  <si>
    <t>Pulsed Beam Emitter</t>
  </si>
  <si>
    <t>Alpha Kyon Emitter</t>
  </si>
  <si>
    <t>Electro-Magnetic Plasma Cannon</t>
  </si>
  <si>
    <t>High Energy Plasma Thrower</t>
  </si>
  <si>
    <t>Fragmentation Bomb Launcher</t>
  </si>
  <si>
    <t>Ion Disruptor</t>
  </si>
  <si>
    <t>Plasma Burst Generator</t>
  </si>
  <si>
    <t>Phased Shockwave Generator</t>
  </si>
  <si>
    <t>Gamma Ray Cannon</t>
  </si>
  <si>
    <t>Matter/Anti-Matter Launcher</t>
  </si>
  <si>
    <t>Ion Pulse Generator</t>
  </si>
  <si>
    <t>Concussion Impulse Generator</t>
  </si>
  <si>
    <t>Ion Shard Railgun</t>
  </si>
  <si>
    <t>Plasma Beam Cannon</t>
  </si>
  <si>
    <t>Flak Artillery Array</t>
  </si>
  <si>
    <t>Cluster Flak Array</t>
  </si>
  <si>
    <t>Phased Array Laser Cannon</t>
  </si>
  <si>
    <t>Beta Kyon Emitter</t>
  </si>
  <si>
    <t>Starburst Shockwave Cannon</t>
  </si>
  <si>
    <t>Incendiary Bomb Launcher</t>
  </si>
  <si>
    <t>Photon Pulse Cannon</t>
  </si>
  <si>
    <t>Tri-Beam Cannon</t>
  </si>
  <si>
    <t>Fusion Beam Cannon</t>
  </si>
  <si>
    <t>Gauss Cannon</t>
  </si>
  <si>
    <t>Photon Artillery Array</t>
  </si>
  <si>
    <t>Gamma Kyon Emitter</t>
  </si>
  <si>
    <t>Ion Cannon</t>
  </si>
  <si>
    <t>Point Singularity Projector</t>
  </si>
  <si>
    <t>Cost (Silicon)</t>
  </si>
  <si>
    <t>Dmg (k)</t>
  </si>
  <si>
    <t>DPM</t>
  </si>
  <si>
    <t>Volume</t>
  </si>
  <si>
    <t>RoF (/min)</t>
  </si>
  <si>
    <t>Dmg/Si</t>
  </si>
  <si>
    <t>Si/min</t>
  </si>
  <si>
    <t>Artillery</t>
  </si>
  <si>
    <t>(M)</t>
  </si>
  <si>
    <t>Disruptor</t>
  </si>
  <si>
    <t>Windstalker</t>
  </si>
  <si>
    <t>Typhoon</t>
  </si>
  <si>
    <t>Tornado</t>
  </si>
  <si>
    <t>Silkworm</t>
  </si>
  <si>
    <t>Hornet</t>
  </si>
  <si>
    <t>Wraith</t>
  </si>
  <si>
    <t>Flail</t>
  </si>
  <si>
    <t>FOX 3</t>
  </si>
  <si>
    <t>Firelance</t>
  </si>
  <si>
    <t>Aurora</t>
  </si>
  <si>
    <t>Cyclone</t>
  </si>
  <si>
    <t>Thorn</t>
  </si>
  <si>
    <t>Dragonfly</t>
  </si>
  <si>
    <t>Ghoul</t>
  </si>
  <si>
    <t>FOX 2</t>
  </si>
  <si>
    <t>Hammer-head</t>
  </si>
  <si>
    <t>Banshee</t>
  </si>
  <si>
    <t>Hurricane</t>
  </si>
  <si>
    <t>Needle</t>
  </si>
  <si>
    <t>Firefly</t>
  </si>
  <si>
    <t>Spectre</t>
  </si>
  <si>
    <t>Shadow</t>
  </si>
  <si>
    <t>FOX 1</t>
  </si>
  <si>
    <t>(k)</t>
  </si>
  <si>
    <t>Beluga</t>
  </si>
  <si>
    <t>Tempest</t>
  </si>
  <si>
    <t>Sting</t>
  </si>
  <si>
    <t>Wasp</t>
  </si>
  <si>
    <t>Poltergeist</t>
  </si>
  <si>
    <t>Wildfire</t>
  </si>
  <si>
    <t>Consumes</t>
  </si>
  <si>
    <t>Consumption Rate (/h)</t>
  </si>
  <si>
    <t>Produces</t>
  </si>
  <si>
    <t>Production Rate (/h)</t>
  </si>
  <si>
    <t>Ratio</t>
  </si>
  <si>
    <t>Solar Power Plant (100%)</t>
  </si>
  <si>
    <t>E-Cells</t>
  </si>
  <si>
    <t>Solar Power Plant (150%)</t>
  </si>
  <si>
    <t>Solar Power Plant (200%)</t>
  </si>
  <si>
    <t>Solar Power Plant (250%)</t>
  </si>
  <si>
    <t>Solar Power Plant (300%)</t>
  </si>
  <si>
    <t>Advanced Satellite</t>
  </si>
  <si>
    <t>Crystal Fab</t>
  </si>
  <si>
    <t>Chip Plant</t>
  </si>
  <si>
    <t>Microchips</t>
  </si>
  <si>
    <t>Computer Plant</t>
  </si>
  <si>
    <t>Chelts Space Aquarium</t>
  </si>
  <si>
    <t>Chelts Meat</t>
  </si>
  <si>
    <t>Rastar Refinery</t>
  </si>
  <si>
    <t>Rastar Oil</t>
  </si>
  <si>
    <t>Silicon Mine (Yield = 30)</t>
  </si>
  <si>
    <t>Silicon</t>
  </si>
  <si>
    <t>Silicon Mine (Yield = 127)</t>
  </si>
  <si>
    <t>Outpost (100 pop)</t>
  </si>
  <si>
    <t>Waste</t>
  </si>
  <si>
    <t>Chemical Lab</t>
  </si>
  <si>
    <t>Chemicals</t>
  </si>
  <si>
    <t>Teladianium</t>
  </si>
  <si>
    <t>Hull Plating Production Facility</t>
  </si>
  <si>
    <t>Protein Paste Blending Facility</t>
  </si>
  <si>
    <t>Protein Paste</t>
  </si>
  <si>
    <t>Food Preparation Facility</t>
  </si>
  <si>
    <t>C-Rations</t>
  </si>
  <si>
    <t>Ore Mine (Yield = 78)</t>
  </si>
  <si>
    <t>C-Ration</t>
  </si>
  <si>
    <t>Ore</t>
  </si>
  <si>
    <t>Ore Mine (Yield = 18)</t>
  </si>
  <si>
    <t>1 1/2</t>
  </si>
  <si>
    <t>Quantum Tube Fab</t>
  </si>
  <si>
    <t>MAX van Crystals</t>
  </si>
  <si>
    <t>MAX van Speed (m/s)</t>
  </si>
  <si>
    <t>MAX van Shield (k)</t>
  </si>
  <si>
    <t>MAX van Hull (k)</t>
  </si>
  <si>
    <t>MAX van S/H</t>
  </si>
  <si>
    <t>MAX van S+H</t>
  </si>
  <si>
    <t>MAX van DPS (k)</t>
  </si>
  <si>
    <t>MAX van Guns</t>
  </si>
  <si>
    <t>MAX van S/Cryst</t>
  </si>
  <si>
    <t>MAX van H/Cryst</t>
  </si>
  <si>
    <t>MAX van DPS/Cryst</t>
  </si>
  <si>
    <t>MAX van S/Pop</t>
  </si>
  <si>
    <t>MAX van H/Pop</t>
  </si>
  <si>
    <t>MAX van DPS/Pop</t>
  </si>
  <si>
    <t>AVERAGE van Cost (Cryst.)</t>
  </si>
  <si>
    <t>SUM van Hull DPS</t>
  </si>
  <si>
    <t>SUM van Shield DPS</t>
  </si>
  <si>
    <t>SUM van H/S ratio</t>
  </si>
  <si>
    <t>SUM van RoF (/m)</t>
  </si>
  <si>
    <t>SUM van Range (km)</t>
  </si>
  <si>
    <t>SUM van Speed (km/s)</t>
  </si>
  <si>
    <t>SUM van HDPS/Cost</t>
  </si>
  <si>
    <t>SUM van SDPS/Cost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</si>
</sst>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d/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ptos Narrow"/>
    </font>
    <font>
      <sz val="11.0"/>
      <color rgb="FF000000"/>
      <name val="Calibri"/>
    </font>
    <font>
      <color theme="1"/>
      <name val="Arial"/>
    </font>
  </fonts>
  <fills count="65">
    <fill>
      <patternFill patternType="none"/>
    </fill>
    <fill>
      <patternFill patternType="lightGray"/>
    </fill>
    <fill>
      <patternFill patternType="solid">
        <fgColor rgb="FFD3DF82"/>
        <bgColor rgb="FFD3DF82"/>
      </patternFill>
    </fill>
    <fill>
      <patternFill patternType="solid">
        <fgColor rgb="FFF8BD69"/>
        <bgColor rgb="FFF8BD69"/>
      </patternFill>
    </fill>
    <fill>
      <patternFill patternType="solid">
        <fgColor rgb="FFFCCB67"/>
        <bgColor rgb="FFFCCB67"/>
      </patternFill>
    </fill>
    <fill>
      <patternFill patternType="solid">
        <fgColor rgb="FFFDD567"/>
        <bgColor rgb="FFFDD567"/>
      </patternFill>
    </fill>
    <fill>
      <patternFill patternType="solid">
        <fgColor rgb="FFFCC17B"/>
        <bgColor rgb="FFFCC17B"/>
      </patternFill>
    </fill>
    <fill>
      <patternFill patternType="solid">
        <fgColor rgb="FFF8696B"/>
        <bgColor rgb="FFF8696B"/>
      </patternFill>
    </fill>
    <fill>
      <patternFill patternType="solid">
        <fgColor rgb="FFFDD37F"/>
        <bgColor rgb="FFFDD37F"/>
      </patternFill>
    </fill>
    <fill>
      <patternFill patternType="solid">
        <fgColor rgb="FFF8E984"/>
        <bgColor rgb="FFF8E984"/>
      </patternFill>
    </fill>
    <fill>
      <patternFill patternType="solid">
        <fgColor rgb="FFABD37F"/>
        <bgColor rgb="FFABD37F"/>
      </patternFill>
    </fill>
    <fill>
      <patternFill patternType="solid">
        <fgColor rgb="FFFDD17F"/>
        <bgColor rgb="FFFDD17F"/>
      </patternFill>
    </fill>
    <fill>
      <patternFill patternType="solid">
        <fgColor rgb="FFFFEB84"/>
        <bgColor rgb="FFFFEB84"/>
      </patternFill>
    </fill>
    <fill>
      <patternFill patternType="solid">
        <fgColor rgb="FFFA9473"/>
        <bgColor rgb="FFFA9473"/>
      </patternFill>
    </fill>
    <fill>
      <patternFill patternType="solid">
        <fgColor rgb="FFAED480"/>
        <bgColor rgb="FFAED480"/>
      </patternFill>
    </fill>
    <fill>
      <patternFill patternType="solid">
        <fgColor rgb="FFC1DA81"/>
        <bgColor rgb="FFC1DA81"/>
      </patternFill>
    </fill>
    <fill>
      <patternFill patternType="solid">
        <fgColor rgb="FFFCEA84"/>
        <bgColor rgb="FFFCEA84"/>
      </patternFill>
    </fill>
    <fill>
      <patternFill patternType="solid">
        <fgColor rgb="FFE0E383"/>
        <bgColor rgb="FFE0E383"/>
      </patternFill>
    </fill>
    <fill>
      <patternFill patternType="solid">
        <fgColor rgb="FF63BE7B"/>
        <bgColor rgb="FF63BE7B"/>
      </patternFill>
    </fill>
    <fill>
      <patternFill patternType="solid">
        <fgColor rgb="FFCFDE82"/>
        <bgColor rgb="FFCFDE82"/>
      </patternFill>
    </fill>
    <fill>
      <patternFill patternType="solid">
        <fgColor rgb="FFDFE283"/>
        <bgColor rgb="FFDFE283"/>
      </patternFill>
    </fill>
    <fill>
      <patternFill patternType="solid">
        <fgColor rgb="FFF97D6E"/>
        <bgColor rgb="FFF97D6E"/>
      </patternFill>
    </fill>
    <fill>
      <patternFill patternType="solid">
        <fgColor rgb="FFFED880"/>
        <bgColor rgb="FFFED880"/>
      </patternFill>
    </fill>
    <fill>
      <patternFill patternType="solid">
        <fgColor rgb="FF81C67C"/>
        <bgColor rgb="FF81C67C"/>
      </patternFill>
    </fill>
    <fill>
      <patternFill patternType="solid">
        <fgColor rgb="FFC0D981"/>
        <bgColor rgb="FFC0D981"/>
      </patternFill>
    </fill>
    <fill>
      <patternFill patternType="solid">
        <fgColor rgb="FFFEE783"/>
        <bgColor rgb="FFFEE783"/>
      </patternFill>
    </fill>
    <fill>
      <patternFill patternType="solid">
        <fgColor rgb="FFFA9172"/>
        <bgColor rgb="FFFA9172"/>
      </patternFill>
    </fill>
    <fill>
      <patternFill patternType="solid">
        <fgColor rgb="FFFBB379"/>
        <bgColor rgb="FFFBB379"/>
      </patternFill>
    </fill>
    <fill>
      <patternFill patternType="solid">
        <fgColor rgb="FFFCC17C"/>
        <bgColor rgb="FFFCC17C"/>
      </patternFill>
    </fill>
    <fill>
      <patternFill patternType="solid">
        <fgColor rgb="FFD7E082"/>
        <bgColor rgb="FFD7E082"/>
      </patternFill>
    </fill>
    <fill>
      <patternFill patternType="solid">
        <fgColor rgb="FFE0E283"/>
        <bgColor rgb="FFE0E283"/>
      </patternFill>
    </fill>
    <fill>
      <patternFill patternType="solid">
        <fgColor rgb="FF90CB7E"/>
        <bgColor rgb="FF90CB7E"/>
      </patternFill>
    </fill>
    <fill>
      <patternFill patternType="solid">
        <fgColor rgb="FF9DCF7F"/>
        <bgColor rgb="FF9DCF7F"/>
      </patternFill>
    </fill>
    <fill>
      <patternFill patternType="solid">
        <fgColor rgb="FFFEDF81"/>
        <bgColor rgb="FFFEDF81"/>
      </patternFill>
    </fill>
    <fill>
      <patternFill patternType="solid">
        <fgColor rgb="FF80C77D"/>
        <bgColor rgb="FF80C77D"/>
      </patternFill>
    </fill>
    <fill>
      <patternFill patternType="solid">
        <fgColor rgb="FFFDCD7E"/>
        <bgColor rgb="FFFDCD7E"/>
      </patternFill>
    </fill>
    <fill>
      <patternFill patternType="solid">
        <fgColor rgb="FFBDD881"/>
        <bgColor rgb="FFBDD881"/>
      </patternFill>
    </fill>
    <fill>
      <patternFill patternType="solid">
        <fgColor rgb="FFFDCA7D"/>
        <bgColor rgb="FFFDCA7D"/>
      </patternFill>
    </fill>
    <fill>
      <patternFill patternType="solid">
        <fgColor rgb="FFFEEB84"/>
        <bgColor rgb="FFFEEB84"/>
      </patternFill>
    </fill>
    <fill>
      <patternFill patternType="solid">
        <fgColor rgb="FFEFE784"/>
        <bgColor rgb="FFEFE784"/>
      </patternFill>
    </fill>
    <fill>
      <patternFill patternType="solid">
        <fgColor rgb="FFE9E583"/>
        <bgColor rgb="FFE9E583"/>
      </patternFill>
    </fill>
    <fill>
      <patternFill patternType="solid">
        <fgColor rgb="FFFEEA83"/>
        <bgColor rgb="FFFEEA83"/>
      </patternFill>
    </fill>
    <fill>
      <patternFill patternType="solid">
        <fgColor rgb="FFFAEA84"/>
        <bgColor rgb="FFFAEA84"/>
      </patternFill>
    </fill>
    <fill>
      <patternFill patternType="solid">
        <fgColor rgb="FFFBA877"/>
        <bgColor rgb="FFFBA877"/>
      </patternFill>
    </fill>
    <fill>
      <patternFill patternType="solid">
        <fgColor rgb="FFDAE182"/>
        <bgColor rgb="FFDAE182"/>
      </patternFill>
    </fill>
    <fill>
      <patternFill patternType="solid">
        <fgColor rgb="FF93CC7E"/>
        <bgColor rgb="FF93CC7E"/>
      </patternFill>
    </fill>
    <fill>
      <patternFill patternType="solid">
        <fgColor rgb="FF8BCA7E"/>
        <bgColor rgb="FF8BCA7E"/>
      </patternFill>
    </fill>
    <fill>
      <patternFill patternType="solid">
        <fgColor rgb="FFF9E984"/>
        <bgColor rgb="FFF9E984"/>
      </patternFill>
    </fill>
    <fill>
      <patternFill patternType="solid">
        <fgColor rgb="FFD9E082"/>
        <bgColor rgb="FFD9E082"/>
      </patternFill>
    </fill>
    <fill>
      <patternFill patternType="solid">
        <fgColor rgb="FFE5E483"/>
        <bgColor rgb="FFE5E483"/>
      </patternFill>
    </fill>
    <fill>
      <patternFill patternType="solid">
        <fgColor rgb="FFF98770"/>
        <bgColor rgb="FFF98770"/>
      </patternFill>
    </fill>
    <fill>
      <patternFill patternType="solid">
        <fgColor rgb="FFF97E6F"/>
        <bgColor rgb="FFF97E6F"/>
      </patternFill>
    </fill>
    <fill>
      <patternFill patternType="solid">
        <fgColor rgb="FFFEE081"/>
        <bgColor rgb="FFFEE081"/>
      </patternFill>
    </fill>
    <fill>
      <patternFill patternType="solid">
        <fgColor rgb="FFF8736C"/>
        <bgColor rgb="FFF8736C"/>
      </patternFill>
    </fill>
    <fill>
      <patternFill patternType="solid">
        <fgColor rgb="FFB2D580"/>
        <bgColor rgb="FFB2D580"/>
      </patternFill>
    </fill>
    <fill>
      <patternFill patternType="solid">
        <fgColor rgb="FF88C97E"/>
        <bgColor rgb="FF88C97E"/>
      </patternFill>
    </fill>
    <fill>
      <patternFill patternType="solid">
        <fgColor rgb="FFFBAA77"/>
        <bgColor rgb="FFFBAA77"/>
      </patternFill>
    </fill>
    <fill>
      <patternFill patternType="solid">
        <fgColor rgb="FFD8E082"/>
        <bgColor rgb="FFD8E082"/>
      </patternFill>
    </fill>
    <fill>
      <patternFill patternType="solid">
        <fgColor rgb="FFCCDD82"/>
        <bgColor rgb="FFCCDD82"/>
      </patternFill>
    </fill>
    <fill>
      <patternFill patternType="solid">
        <fgColor rgb="FFBFD981"/>
        <bgColor rgb="FFBFD981"/>
      </patternFill>
    </fill>
    <fill>
      <patternFill patternType="solid">
        <fgColor rgb="FFF9806F"/>
        <bgColor rgb="FFF9806F"/>
      </patternFill>
    </fill>
    <fill>
      <patternFill patternType="solid">
        <fgColor rgb="FFFA9974"/>
        <bgColor rgb="FFFA9974"/>
      </patternFill>
    </fill>
    <fill>
      <patternFill patternType="solid">
        <fgColor rgb="FFB1D580"/>
        <bgColor rgb="FFB1D580"/>
      </patternFill>
    </fill>
    <fill>
      <patternFill patternType="solid">
        <fgColor rgb="FFFEE182"/>
        <bgColor rgb="FFFEE182"/>
      </patternFill>
    </fill>
    <fill>
      <patternFill patternType="solid">
        <fgColor rgb="FFB7D680"/>
        <bgColor rgb="FFB7D680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3" numFmtId="4" xfId="0" applyAlignment="1" applyFill="1" applyFont="1" applyNumberFormat="1">
      <alignment horizontal="right" readingOrder="0" shrinkToFit="0" vertical="bottom" wrapText="0"/>
    </xf>
    <xf borderId="0" fillId="2" fontId="3" numFmtId="3" xfId="0" applyAlignment="1" applyFont="1" applyNumberFormat="1">
      <alignment horizontal="right" readingOrder="0" shrinkToFit="0" vertical="bottom" wrapText="0"/>
    </xf>
    <xf borderId="0" fillId="3" fontId="5" numFmtId="4" xfId="0" applyAlignment="1" applyFill="1" applyFont="1" applyNumberFormat="1">
      <alignment horizontal="right" vertical="bottom"/>
    </xf>
    <xf borderId="0" fillId="4" fontId="5" numFmtId="4" xfId="0" applyAlignment="1" applyFill="1" applyFont="1" applyNumberFormat="1">
      <alignment horizontal="right" vertical="bottom"/>
    </xf>
    <xf borderId="0" fillId="5" fontId="5" numFmtId="4" xfId="0" applyAlignment="1" applyFill="1" applyFont="1" applyNumberFormat="1">
      <alignment horizontal="right" vertical="bottom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3" xfId="0" applyAlignment="1" applyFont="1" applyNumberFormat="1">
      <alignment readingOrder="0" shrinkToFit="0" vertical="bottom" wrapText="0"/>
    </xf>
    <xf borderId="0" fillId="0" fontId="3" numFmtId="3" xfId="0" applyAlignment="1" applyFont="1" applyNumberFormat="1">
      <alignment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4" numFmtId="3" xfId="0" applyAlignment="1" applyBorder="1" applyFont="1" applyNumberFormat="1">
      <alignment horizontal="right" readingOrder="0" shrinkToFit="0" vertical="bottom" wrapText="0"/>
    </xf>
    <xf borderId="1" fillId="0" fontId="3" numFmtId="3" xfId="0" applyAlignment="1" applyBorder="1" applyFont="1" applyNumberFormat="1">
      <alignment horizontal="right" readingOrder="0" shrinkToFit="0" vertical="bottom" wrapText="0"/>
    </xf>
    <xf borderId="1" fillId="0" fontId="3" numFmtId="4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165" xfId="0" applyAlignment="1" applyBorder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1" numFmtId="3" xfId="0" applyFont="1" applyNumberFormat="1"/>
    <xf borderId="2" fillId="0" fontId="6" numFmtId="0" xfId="0" applyAlignment="1" applyBorder="1" applyFont="1">
      <alignment readingOrder="0" shrinkToFit="0" vertical="bottom" wrapText="0"/>
    </xf>
    <xf borderId="2" fillId="0" fontId="6" numFmtId="3" xfId="0" applyAlignment="1" applyBorder="1" applyFont="1" applyNumberFormat="1">
      <alignment readingOrder="0" shrinkToFit="0" vertical="bottom" wrapText="0"/>
    </xf>
    <xf borderId="2" fillId="0" fontId="6" numFmtId="165" xfId="0" applyAlignment="1" applyBorder="1" applyFont="1" applyNumberFormat="1">
      <alignment readingOrder="0" shrinkToFit="0" vertical="bottom" wrapText="0"/>
    </xf>
    <xf borderId="2" fillId="0" fontId="6" numFmtId="4" xfId="0" applyAlignment="1" applyBorder="1" applyFont="1" applyNumberFormat="1">
      <alignment readingOrder="0" shrinkToFit="0" vertical="bottom" wrapText="0"/>
    </xf>
    <xf borderId="2" fillId="0" fontId="6" numFmtId="0" xfId="0" applyAlignment="1" applyBorder="1" applyFont="1">
      <alignment shrinkToFit="0" vertical="bottom" wrapText="0"/>
    </xf>
    <xf borderId="2" fillId="0" fontId="6" numFmtId="3" xfId="0" applyAlignment="1" applyBorder="1" applyFont="1" applyNumberFormat="1">
      <alignment shrinkToFit="0" vertical="bottom" wrapText="0"/>
    </xf>
    <xf borderId="2" fillId="0" fontId="6" numFmtId="165" xfId="0" applyAlignment="1" applyBorder="1" applyFont="1" applyNumberFormat="1">
      <alignment shrinkToFit="0" vertical="bottom" wrapText="0"/>
    </xf>
    <xf borderId="2" fillId="0" fontId="6" numFmtId="4" xfId="0" applyAlignment="1" applyBorder="1" applyFont="1" applyNumberFormat="1">
      <alignment shrinkToFit="0" vertical="bottom" wrapText="0"/>
    </xf>
    <xf borderId="2" fillId="0" fontId="6" numFmtId="3" xfId="0" applyAlignment="1" applyBorder="1" applyFont="1" applyNumberFormat="1">
      <alignment horizontal="right" readingOrder="0" shrinkToFit="0" vertical="bottom" wrapText="0"/>
    </xf>
    <xf borderId="2" fillId="6" fontId="6" numFmtId="3" xfId="0" applyAlignment="1" applyBorder="1" applyFill="1" applyFont="1" applyNumberFormat="1">
      <alignment horizontal="right" readingOrder="0" shrinkToFit="0" vertical="bottom" wrapText="0"/>
    </xf>
    <xf borderId="2" fillId="7" fontId="6" numFmtId="4" xfId="0" applyAlignment="1" applyBorder="1" applyFill="1" applyFont="1" applyNumberFormat="1">
      <alignment horizontal="right" readingOrder="0" shrinkToFit="0" vertical="bottom" wrapText="0"/>
    </xf>
    <xf borderId="2" fillId="8" fontId="6" numFmtId="3" xfId="0" applyAlignment="1" applyBorder="1" applyFill="1" applyFont="1" applyNumberFormat="1">
      <alignment horizontal="right" readingOrder="0" shrinkToFit="0" vertical="bottom" wrapText="0"/>
    </xf>
    <xf borderId="2" fillId="7" fontId="6" numFmtId="165" xfId="0" applyAlignment="1" applyBorder="1" applyFont="1" applyNumberFormat="1">
      <alignment horizontal="right" readingOrder="0" shrinkToFit="0" vertical="bottom" wrapText="0"/>
    </xf>
    <xf borderId="2" fillId="9" fontId="6" numFmtId="4" xfId="0" applyAlignment="1" applyBorder="1" applyFill="1" applyFont="1" applyNumberFormat="1">
      <alignment horizontal="right" readingOrder="0" shrinkToFit="0" vertical="bottom" wrapText="0"/>
    </xf>
    <xf borderId="2" fillId="10" fontId="6" numFmtId="3" xfId="0" applyAlignment="1" applyBorder="1" applyFill="1" applyFont="1" applyNumberFormat="1">
      <alignment horizontal="right" readingOrder="0" shrinkToFit="0" vertical="bottom" wrapText="0"/>
    </xf>
    <xf borderId="2" fillId="11" fontId="6" numFmtId="3" xfId="0" applyAlignment="1" applyBorder="1" applyFill="1" applyFont="1" applyNumberFormat="1">
      <alignment horizontal="right" readingOrder="0" shrinkToFit="0" vertical="bottom" wrapText="0"/>
    </xf>
    <xf borderId="2" fillId="12" fontId="6" numFmtId="3" xfId="0" applyAlignment="1" applyBorder="1" applyFill="1" applyFont="1" applyNumberFormat="1">
      <alignment horizontal="right" readingOrder="0" shrinkToFit="0" vertical="bottom" wrapText="0"/>
    </xf>
    <xf borderId="2" fillId="13" fontId="6" numFmtId="165" xfId="0" applyAlignment="1" applyBorder="1" applyFill="1" applyFont="1" applyNumberFormat="1">
      <alignment horizontal="right" readingOrder="0" shrinkToFit="0" vertical="bottom" wrapText="0"/>
    </xf>
    <xf borderId="2" fillId="14" fontId="6" numFmtId="3" xfId="0" applyAlignment="1" applyBorder="1" applyFill="1" applyFont="1" applyNumberFormat="1">
      <alignment horizontal="right" readingOrder="0" shrinkToFit="0" vertical="bottom" wrapText="0"/>
    </xf>
    <xf borderId="2" fillId="15" fontId="6" numFmtId="165" xfId="0" applyAlignment="1" applyBorder="1" applyFill="1" applyFont="1" applyNumberFormat="1">
      <alignment horizontal="right" readingOrder="0" shrinkToFit="0" vertical="bottom" wrapText="0"/>
    </xf>
    <xf borderId="2" fillId="16" fontId="6" numFmtId="3" xfId="0" applyAlignment="1" applyBorder="1" applyFill="1" applyFont="1" applyNumberFormat="1">
      <alignment horizontal="right" readingOrder="0" shrinkToFit="0" vertical="bottom" wrapText="0"/>
    </xf>
    <xf borderId="2" fillId="17" fontId="6" numFmtId="165" xfId="0" applyAlignment="1" applyBorder="1" applyFill="1" applyFont="1" applyNumberFormat="1">
      <alignment horizontal="right" readingOrder="0" shrinkToFit="0" vertical="bottom" wrapText="0"/>
    </xf>
    <xf borderId="2" fillId="18" fontId="6" numFmtId="3" xfId="0" applyAlignment="1" applyBorder="1" applyFill="1" applyFont="1" applyNumberFormat="1">
      <alignment horizontal="right" readingOrder="0" shrinkToFit="0" vertical="bottom" wrapText="0"/>
    </xf>
    <xf borderId="2" fillId="7" fontId="6" numFmtId="3" xfId="0" applyAlignment="1" applyBorder="1" applyFont="1" applyNumberFormat="1">
      <alignment horizontal="right" readingOrder="0" shrinkToFit="0" vertical="bottom" wrapText="0"/>
    </xf>
    <xf borderId="2" fillId="18" fontId="6" numFmtId="165" xfId="0" applyAlignment="1" applyBorder="1" applyFont="1" applyNumberFormat="1">
      <alignment horizontal="right" readingOrder="0" shrinkToFit="0" vertical="bottom" wrapText="0"/>
    </xf>
    <xf borderId="2" fillId="19" fontId="6" numFmtId="3" xfId="0" applyAlignment="1" applyBorder="1" applyFill="1" applyFont="1" applyNumberFormat="1">
      <alignment horizontal="right" readingOrder="0" shrinkToFit="0" vertical="bottom" wrapText="0"/>
    </xf>
    <xf borderId="2" fillId="12" fontId="6" numFmtId="165" xfId="0" applyAlignment="1" applyBorder="1" applyFont="1" applyNumberFormat="1">
      <alignment horizontal="right" readingOrder="0" shrinkToFit="0" vertical="bottom" wrapText="0"/>
    </xf>
    <xf borderId="2" fillId="18" fontId="6" numFmtId="4" xfId="0" applyAlignment="1" applyBorder="1" applyFont="1" applyNumberFormat="1">
      <alignment horizontal="right" readingOrder="0" shrinkToFit="0" vertical="bottom" wrapText="0"/>
    </xf>
    <xf borderId="2" fillId="20" fontId="6" numFmtId="4" xfId="0" applyAlignment="1" applyBorder="1" applyFill="1" applyFont="1" applyNumberFormat="1">
      <alignment horizontal="right" readingOrder="0" shrinkToFit="0" vertical="bottom" wrapText="0"/>
    </xf>
    <xf borderId="2" fillId="21" fontId="6" numFmtId="3" xfId="0" applyAlignment="1" applyBorder="1" applyFill="1" applyFont="1" applyNumberFormat="1">
      <alignment horizontal="right" readingOrder="0" shrinkToFit="0" vertical="bottom" wrapText="0"/>
    </xf>
    <xf borderId="2" fillId="22" fontId="6" numFmtId="165" xfId="0" applyAlignment="1" applyBorder="1" applyFill="1" applyFont="1" applyNumberFormat="1">
      <alignment horizontal="right" readingOrder="0" shrinkToFit="0" vertical="bottom" wrapText="0"/>
    </xf>
    <xf borderId="2" fillId="23" fontId="6" numFmtId="3" xfId="0" applyAlignment="1" applyBorder="1" applyFill="1" applyFont="1" applyNumberFormat="1">
      <alignment horizontal="right" readingOrder="0" shrinkToFit="0" vertical="bottom" wrapText="0"/>
    </xf>
    <xf borderId="2" fillId="24" fontId="6" numFmtId="3" xfId="0" applyAlignment="1" applyBorder="1" applyFill="1" applyFont="1" applyNumberFormat="1">
      <alignment horizontal="right" readingOrder="0" shrinkToFit="0" vertical="bottom" wrapText="0"/>
    </xf>
    <xf borderId="2" fillId="25" fontId="6" numFmtId="4" xfId="0" applyAlignment="1" applyBorder="1" applyFill="1" applyFont="1" applyNumberFormat="1">
      <alignment horizontal="right" readingOrder="0" shrinkToFit="0" vertical="bottom" wrapText="0"/>
    </xf>
    <xf borderId="2" fillId="26" fontId="6" numFmtId="3" xfId="0" applyAlignment="1" applyBorder="1" applyFill="1" applyFont="1" applyNumberFormat="1">
      <alignment horizontal="right" readingOrder="0" shrinkToFit="0" vertical="bottom" wrapText="0"/>
    </xf>
    <xf borderId="2" fillId="27" fontId="6" numFmtId="165" xfId="0" applyAlignment="1" applyBorder="1" applyFill="1" applyFont="1" applyNumberFormat="1">
      <alignment horizontal="right" readingOrder="0" shrinkToFit="0" vertical="bottom" wrapText="0"/>
    </xf>
    <xf borderId="2" fillId="28" fontId="6" numFmtId="3" xfId="0" applyAlignment="1" applyBorder="1" applyFill="1" applyFont="1" applyNumberFormat="1">
      <alignment horizontal="right" readingOrder="0" shrinkToFit="0" vertical="bottom" wrapText="0"/>
    </xf>
    <xf borderId="2" fillId="29" fontId="6" numFmtId="4" xfId="0" applyAlignment="1" applyBorder="1" applyFill="1" applyFont="1" applyNumberFormat="1">
      <alignment horizontal="right" readingOrder="0" shrinkToFit="0" vertical="bottom" wrapText="0"/>
    </xf>
    <xf borderId="2" fillId="30" fontId="6" numFmtId="3" xfId="0" applyAlignment="1" applyBorder="1" applyFill="1" applyFont="1" applyNumberFormat="1">
      <alignment horizontal="right" readingOrder="0" shrinkToFit="0" vertical="bottom" wrapText="0"/>
    </xf>
    <xf borderId="2" fillId="31" fontId="6" numFmtId="165" xfId="0" applyAlignment="1" applyBorder="1" applyFill="1" applyFont="1" applyNumberFormat="1">
      <alignment horizontal="right" readingOrder="0" shrinkToFit="0" vertical="bottom" wrapText="0"/>
    </xf>
    <xf borderId="2" fillId="32" fontId="6" numFmtId="3" xfId="0" applyAlignment="1" applyBorder="1" applyFill="1" applyFont="1" applyNumberFormat="1">
      <alignment horizontal="right" readingOrder="0" shrinkToFit="0" vertical="bottom" wrapText="0"/>
    </xf>
    <xf borderId="2" fillId="33" fontId="6" numFmtId="4" xfId="0" applyAlignment="1" applyBorder="1" applyFill="1" applyFont="1" applyNumberFormat="1">
      <alignment horizontal="right" readingOrder="0" shrinkToFit="0" vertical="bottom" wrapText="0"/>
    </xf>
    <xf borderId="2" fillId="34" fontId="6" numFmtId="3" xfId="0" applyAlignment="1" applyBorder="1" applyFill="1" applyFont="1" applyNumberFormat="1">
      <alignment horizontal="right" readingOrder="0" shrinkToFit="0" vertical="bottom" wrapText="0"/>
    </xf>
    <xf borderId="2" fillId="35" fontId="6" numFmtId="3" xfId="0" applyAlignment="1" applyBorder="1" applyFill="1" applyFont="1" applyNumberFormat="1">
      <alignment horizontal="right" readingOrder="0" shrinkToFit="0" vertical="bottom" wrapText="0"/>
    </xf>
    <xf borderId="2" fillId="36" fontId="6" numFmtId="165" xfId="0" applyAlignment="1" applyBorder="1" applyFill="1" applyFont="1" applyNumberFormat="1">
      <alignment horizontal="right" readingOrder="0" shrinkToFit="0" vertical="bottom" wrapText="0"/>
    </xf>
    <xf borderId="2" fillId="37" fontId="6" numFmtId="3" xfId="0" applyAlignment="1" applyBorder="1" applyFill="1" applyFont="1" applyNumberFormat="1">
      <alignment horizontal="right" readingOrder="0" shrinkToFit="0" vertical="bottom" wrapText="0"/>
    </xf>
    <xf borderId="2" fillId="38" fontId="6" numFmtId="4" xfId="0" applyAlignment="1" applyBorder="1" applyFill="1" applyFont="1" applyNumberFormat="1">
      <alignment horizontal="right" readingOrder="0" shrinkToFit="0" vertical="bottom" wrapText="0"/>
    </xf>
    <xf borderId="2" fillId="39" fontId="6" numFmtId="3" xfId="0" applyAlignment="1" applyBorder="1" applyFill="1" applyFont="1" applyNumberFormat="1">
      <alignment horizontal="right" readingOrder="0" shrinkToFit="0" vertical="bottom" wrapText="0"/>
    </xf>
    <xf borderId="2" fillId="40" fontId="6" numFmtId="165" xfId="0" applyAlignment="1" applyBorder="1" applyFill="1" applyFont="1" applyNumberFormat="1">
      <alignment horizontal="right" readingOrder="0" shrinkToFit="0" vertical="bottom" wrapText="0"/>
    </xf>
    <xf borderId="2" fillId="22" fontId="6" numFmtId="3" xfId="0" applyAlignment="1" applyBorder="1" applyFont="1" applyNumberFormat="1">
      <alignment horizontal="right" readingOrder="0" shrinkToFit="0" vertical="bottom" wrapText="0"/>
    </xf>
    <xf borderId="2" fillId="41" fontId="6" numFmtId="4" xfId="0" applyAlignment="1" applyBorder="1" applyFill="1" applyFont="1" applyNumberFormat="1">
      <alignment horizontal="right" readingOrder="0" shrinkToFit="0" vertical="bottom" wrapText="0"/>
    </xf>
    <xf borderId="2" fillId="42" fontId="6" numFmtId="3" xfId="0" applyAlignment="1" applyBorder="1" applyFill="1" applyFont="1" applyNumberFormat="1">
      <alignment horizontal="right" readingOrder="0" shrinkToFit="0" vertical="bottom" wrapText="0"/>
    </xf>
    <xf borderId="2" fillId="43" fontId="6" numFmtId="4" xfId="0" applyAlignment="1" applyBorder="1" applyFill="1" applyFont="1" applyNumberFormat="1">
      <alignment horizontal="right" readingOrder="0" shrinkToFit="0" vertical="bottom" wrapText="0"/>
    </xf>
    <xf borderId="2" fillId="44" fontId="6" numFmtId="4" xfId="0" applyAlignment="1" applyBorder="1" applyFill="1" applyFont="1" applyNumberFormat="1">
      <alignment horizontal="right" readingOrder="0" shrinkToFit="0" vertical="bottom" wrapText="0"/>
    </xf>
    <xf borderId="2" fillId="12" fontId="6" numFmtId="4" xfId="0" applyAlignment="1" applyBorder="1" applyFont="1" applyNumberFormat="1">
      <alignment horizontal="right" readingOrder="0" shrinkToFit="0" vertical="bottom" wrapText="0"/>
    </xf>
    <xf borderId="2" fillId="45" fontId="6" numFmtId="3" xfId="0" applyAlignment="1" applyBorder="1" applyFill="1" applyFont="1" applyNumberFormat="1">
      <alignment horizontal="right" readingOrder="0" shrinkToFit="0" vertical="bottom" wrapText="0"/>
    </xf>
    <xf borderId="2" fillId="46" fontId="6" numFmtId="165" xfId="0" applyAlignment="1" applyBorder="1" applyFill="1" applyFont="1" applyNumberFormat="1">
      <alignment horizontal="right" readingOrder="0" shrinkToFit="0" vertical="bottom" wrapText="0"/>
    </xf>
    <xf borderId="2" fillId="47" fontId="6" numFmtId="3" xfId="0" applyAlignment="1" applyBorder="1" applyFill="1" applyFont="1" applyNumberFormat="1">
      <alignment horizontal="right" readingOrder="0" shrinkToFit="0" vertical="bottom" wrapText="0"/>
    </xf>
    <xf borderId="2" fillId="48" fontId="6" numFmtId="4" xfId="0" applyAlignment="1" applyBorder="1" applyFill="1" applyFont="1" applyNumberFormat="1">
      <alignment horizontal="right" readingOrder="0" shrinkToFit="0" vertical="bottom" wrapText="0"/>
    </xf>
    <xf borderId="2" fillId="49" fontId="6" numFmtId="3" xfId="0" applyAlignment="1" applyBorder="1" applyFill="1" applyFont="1" applyNumberFormat="1">
      <alignment horizontal="right" readingOrder="0" shrinkToFit="0" vertical="bottom" wrapText="0"/>
    </xf>
    <xf borderId="2" fillId="50" fontId="6" numFmtId="3" xfId="0" applyAlignment="1" applyBorder="1" applyFill="1" applyFont="1" applyNumberFormat="1">
      <alignment horizontal="right" readingOrder="0" shrinkToFit="0" vertical="bottom" wrapText="0"/>
    </xf>
    <xf borderId="2" fillId="51" fontId="6" numFmtId="165" xfId="0" applyAlignment="1" applyBorder="1" applyFill="1" applyFont="1" applyNumberFormat="1">
      <alignment horizontal="right" readingOrder="0" shrinkToFit="0" vertical="bottom" wrapText="0"/>
    </xf>
    <xf borderId="2" fillId="52" fontId="6" numFmtId="4" xfId="0" applyAlignment="1" applyBorder="1" applyFill="1" applyFont="1" applyNumberFormat="1">
      <alignment horizontal="right" readingOrder="0" shrinkToFit="0" vertical="bottom" wrapText="0"/>
    </xf>
    <xf borderId="2" fillId="53" fontId="6" numFmtId="3" xfId="0" applyAlignment="1" applyBorder="1" applyFill="1" applyFont="1" applyNumberFormat="1">
      <alignment horizontal="right" readingOrder="0" shrinkToFit="0" vertical="bottom" wrapText="0"/>
    </xf>
    <xf borderId="2" fillId="54" fontId="6" numFmtId="165" xfId="0" applyAlignment="1" applyBorder="1" applyFill="1" applyFont="1" applyNumberFormat="1">
      <alignment horizontal="right" readingOrder="0" shrinkToFit="0" vertical="bottom" wrapText="0"/>
    </xf>
    <xf borderId="2" fillId="34" fontId="6" numFmtId="4" xfId="0" applyAlignment="1" applyBorder="1" applyFont="1" applyNumberFormat="1">
      <alignment horizontal="right" readingOrder="0" shrinkToFit="0" vertical="bottom" wrapText="0"/>
    </xf>
    <xf borderId="2" fillId="55" fontId="6" numFmtId="3" xfId="0" applyAlignment="1" applyBorder="1" applyFill="1" applyFont="1" applyNumberFormat="1">
      <alignment horizontal="right" readingOrder="0" shrinkToFit="0" vertical="bottom" wrapText="0"/>
    </xf>
    <xf borderId="2" fillId="56" fontId="6" numFmtId="3" xfId="0" applyAlignment="1" applyBorder="1" applyFill="1" applyFont="1" applyNumberFormat="1">
      <alignment horizontal="right" readingOrder="0" shrinkToFit="0" vertical="bottom" wrapText="0"/>
    </xf>
    <xf borderId="2" fillId="57" fontId="6" numFmtId="3" xfId="0" applyAlignment="1" applyBorder="1" applyFill="1" applyFont="1" applyNumberFormat="1">
      <alignment horizontal="right" readingOrder="0" shrinkToFit="0" vertical="bottom" wrapText="0"/>
    </xf>
    <xf borderId="2" fillId="58" fontId="6" numFmtId="4" xfId="0" applyAlignment="1" applyBorder="1" applyFill="1" applyFont="1" applyNumberFormat="1">
      <alignment horizontal="right" readingOrder="0" shrinkToFit="0" vertical="bottom" wrapText="0"/>
    </xf>
    <xf borderId="2" fillId="59" fontId="6" numFmtId="3" xfId="0" applyAlignment="1" applyBorder="1" applyFill="1" applyFont="1" applyNumberFormat="1">
      <alignment horizontal="right" readingOrder="0" shrinkToFit="0" vertical="bottom" wrapText="0"/>
    </xf>
    <xf borderId="2" fillId="60" fontId="6" numFmtId="3" xfId="0" applyAlignment="1" applyBorder="1" applyFill="1" applyFont="1" applyNumberFormat="1">
      <alignment horizontal="right" readingOrder="0" shrinkToFit="0" vertical="bottom" wrapText="0"/>
    </xf>
    <xf borderId="2" fillId="61" fontId="6" numFmtId="3" xfId="0" applyAlignment="1" applyBorder="1" applyFill="1" applyFont="1" applyNumberFormat="1">
      <alignment horizontal="right" readingOrder="0" shrinkToFit="0" vertical="bottom" wrapText="0"/>
    </xf>
    <xf borderId="2" fillId="62" fontId="6" numFmtId="3" xfId="0" applyAlignment="1" applyBorder="1" applyFill="1" applyFont="1" applyNumberFormat="1">
      <alignment horizontal="right" readingOrder="0" shrinkToFit="0" vertical="bottom" wrapText="0"/>
    </xf>
    <xf borderId="2" fillId="56" fontId="6" numFmtId="165" xfId="0" applyAlignment="1" applyBorder="1" applyFont="1" applyNumberFormat="1">
      <alignment horizontal="right" readingOrder="0" shrinkToFit="0" vertical="bottom" wrapText="0"/>
    </xf>
    <xf borderId="2" fillId="63" fontId="6" numFmtId="3" xfId="0" applyAlignment="1" applyBorder="1" applyFill="1" applyFont="1" applyNumberFormat="1">
      <alignment horizontal="right" readingOrder="0" shrinkToFit="0" vertical="bottom" wrapText="0"/>
    </xf>
    <xf borderId="2" fillId="64" fontId="6" numFmtId="3" xfId="0" applyAlignment="1" applyBorder="1" applyFill="1" applyFont="1" applyNumberFormat="1">
      <alignment horizontal="right" readingOrder="0" shrinkToFit="0" vertical="bottom" wrapText="0"/>
    </xf>
    <xf borderId="0" fillId="0" fontId="1" numFmtId="165" xfId="0" applyFont="1" applyNumberFormat="1"/>
    <xf borderId="0" fillId="0" fontId="1" numFmtId="4" xfId="0" applyFont="1" applyNumberFormat="1"/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3" xfId="0" applyAlignment="1" applyFont="1" applyNumberFormat="1">
      <alignment horizontal="right" readingOrder="0" shrinkToFit="0" vertical="bottom" wrapText="0"/>
    </xf>
    <xf borderId="0" fillId="0" fontId="7" numFmtId="166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K412" sheet="Ship List"/>
  </cacheSource>
  <cacheFields>
    <cacheField name="Name" numFmtId="0">
      <sharedItems>
        <s v="Baldric"/>
        <s v="Baldric Hauler"/>
        <s v="Baldric Miner"/>
        <s v="Bragi"/>
        <s v="Bragi Advanced"/>
        <s v="Caiman"/>
        <s v="Caiman Hauler"/>
        <s v="Caiman Miner"/>
        <s v="Demeter"/>
        <s v="Demeter Hauler"/>
        <s v="Demeter Miner"/>
        <s v="Dolphin"/>
        <s v="Dolphin Hauler"/>
        <s v="Dolphin Miner"/>
        <s v="Drake"/>
        <s v="Drake Advanced"/>
        <s v="F"/>
        <s v="F Miner"/>
        <s v="Lotan"/>
        <s v="Mercury"/>
        <s v="Mercury Miner"/>
        <s v="Mistral"/>
        <s v="Nexus"/>
        <s v="Nexus Miner"/>
        <s v="Orinoco"/>
        <s v="Orinoco Advanced"/>
        <s v="Phanon Freighter Type-A"/>
        <s v="Phanon Freighter Type-A Miner"/>
        <s v="Phanon Freighter Type-B"/>
        <s v="Phanon Freighter Type-B Miner"/>
        <s v="Snotra"/>
        <s v="Snotra Advanced"/>
        <s v="Sturgeon"/>
        <s v="Sturgeon Advanced"/>
        <s v="Vulture"/>
        <s v="Vulture Hauler"/>
        <s v="Vulture Miner"/>
        <s v="Angel"/>
        <s v="Angel Advanced"/>
        <s v="Express"/>
        <s v="Hermes"/>
        <s v="Iguana"/>
        <s v="Magnir"/>
        <s v="Magnir Advanced"/>
        <s v="Manta"/>
        <s v="Naucell"/>
        <s v="Naucell Advanced"/>
        <s v="Nomad"/>
        <s v="Nomad Advanced"/>
        <s v="Phanon Shuttle"/>
        <s v="Scabbard"/>
        <s v="Toucan"/>
        <s v="Akurei"/>
        <s v="Boa"/>
        <s v="Boa Hauler"/>
        <s v="Caravel"/>
        <s v="Chokaro"/>
        <s v="Chokaro Advanced"/>
        <s v="Helios"/>
        <s v="Helios Hauler"/>
        <s v="Lofn"/>
        <s v="Lofn Advanced"/>
        <s v="Mangetar"/>
        <s v="Pelican"/>
        <s v="Pelican Hauler"/>
        <s v="Phanon Salvage Ship"/>
        <s v="Pleco"/>
        <s v="Pleco Hauler"/>
        <s v="Zephyrus"/>
        <s v="Zephyrus Advanced"/>
        <s v="Albatross"/>
        <s v="Elephant"/>
        <s v="Hercules"/>
        <s v="Mammoth"/>
        <s v="Orca"/>
        <s v="Ozias"/>
        <s v="Phanon Colony Ship"/>
        <s v="Ryu"/>
        <s v="Tepukei"/>
        <s v="U"/>
        <s v="Aquata"/>
        <s v="Aquata Vanguard"/>
        <s v="Claymore"/>
        <s v="Claymore Raider"/>
        <s v="Gladiator"/>
        <s v="Gladiator Hauler"/>
        <s v="Hades"/>
        <s v="Hades Raider"/>
        <s v="Peregrine"/>
        <s v="Peregrine Hauler"/>
        <s v="Phanon Missile Corvette"/>
        <s v="Viper"/>
        <s v="Viper Vanguard"/>
        <s v="Acinonyx"/>
        <s v="Aegir"/>
        <s v="Agamemnon"/>
        <s v="Auster"/>
        <s v="C"/>
        <s v="Carrack"/>
        <s v="Cikyu"/>
        <s v="Coelacanth"/>
        <s v="G"/>
        <s v="Geochen"/>
        <s v="Guardian"/>
        <s v="Kariudo"/>
        <s v="Krait"/>
        <s v="Kvasir"/>
        <s v="Mandalay"/>
        <s v="Marauder"/>
        <s v="Phanon Frigate Type-A"/>
        <s v="Phanon Frigate Type-B"/>
        <s v="Phanon Frigate Type-D"/>
        <s v="Phanon Frigate Type-E"/>
        <s v="Phanon Frigate Type-F"/>
        <s v="Q"/>
        <s v="R"/>
        <s v="Raven"/>
        <s v="Thresher"/>
        <s v="Tiger"/>
        <s v="Washi"/>
        <s v="Yokohama"/>
        <s v="Ariadne"/>
        <s v="Cerberus"/>
        <s v="Deimos"/>
        <s v="Griffon"/>
        <s v="H"/>
        <s v="Hayabusa"/>
        <s v="Panther"/>
        <s v="Segaris"/>
        <s v="Shrike"/>
        <s v="Tern"/>
        <s v="Aquilo"/>
        <s v="Ares"/>
        <s v="Cobra"/>
        <s v="Gannet"/>
        <s v="Kraken"/>
        <s v="Minotaur"/>
        <s v="Phanon Frigate Type-C"/>
        <s v="Skirnir"/>
        <s v="#deca.fade"/>
        <s v="Discoverer"/>
        <s v="Discoverer Hauler"/>
        <s v="Discoverer Raider"/>
        <s v="Fujin"/>
        <s v="Fujin Hauler"/>
        <s v="Fujin Raider"/>
        <s v="Harrier"/>
        <s v="Harrier Hauler"/>
        <s v="Harrier Raider"/>
        <s v="Jaguar"/>
        <s v="Jaguar Hauler"/>
        <s v="Jaguar Raider"/>
        <s v="Kestrel"/>
        <s v="Mani"/>
        <s v="N"/>
        <s v="Octopus"/>
        <s v="Octopus Hauler"/>
        <s v="Octopus Raider"/>
        <s v="Pegasus"/>
        <s v="Pegasus Hauler"/>
        <s v="Pegasus Raider"/>
        <s v="Ranger"/>
        <s v="Rapier"/>
        <s v="Scout"/>
        <s v="Valkyrie"/>
        <s v="#deca.deaf"/>
        <s v="Asp"/>
        <s v="Buster"/>
        <s v="Buster Hauler"/>
        <s v="Buster Raider"/>
        <s v="Buzzard"/>
        <s v="Buzzard Hauler"/>
        <s v="Buzzard Raider"/>
        <s v="Elite"/>
        <s v="Eurus"/>
        <s v="Guppy"/>
        <s v="Hel"/>
        <s v="Interceptor"/>
        <s v="Kite"/>
        <s v="M"/>
        <s v="Mako"/>
        <s v="Mako Hauler"/>
        <s v="Mjollnir"/>
        <s v="O"/>
        <s v="OX"/>
        <s v="Pericles"/>
        <s v="Pericles Hauler"/>
        <s v="Pericles Raider"/>
        <s v="Phanon Interceptor"/>
        <s v="Pike"/>
        <s v="Raijin"/>
        <s v="Raijin Hauler"/>
        <s v="Raijin Raider"/>
        <s v="Sabre"/>
        <s v="Scorpion"/>
        <s v="Scorpion Hauler"/>
        <s v="Scorpion Raider"/>
        <s v="Shamshir"/>
        <s v="Solano"/>
        <s v="Theseus"/>
        <s v="Tonbo"/>
        <s v="Akuma"/>
        <s v="Astraeus"/>
        <s v="Atlas"/>
        <s v="Bayamon"/>
        <s v="Boreas"/>
        <s v="Brigantine"/>
        <s v="Cormorant"/>
        <s v="Cyclops"/>
        <s v="Destroyer"/>
        <s v="Excalibur"/>
        <s v="Exterminator"/>
        <s v="Forseti"/>
        <s v="Hive Queen"/>
        <s v="I"/>
        <s v="K"/>
        <s v="Kyoto"/>
        <s v="Megalodon"/>
        <s v="Ocelot"/>
        <s v="Odysseus"/>
        <s v="Osaka"/>
        <s v="Patroclus"/>
        <s v="Phanon Battleship Type-A"/>
        <s v="Phanon Battleship Type-B"/>
        <s v="Phanon Battleship Type-D"/>
        <s v="Phanon Battleship Type-E"/>
        <s v="Phanon Battleship Type-F"/>
        <s v="Phanon Cruiser Type-A"/>
        <s v="Phanon Cruiser Type-C"/>
        <s v="Phanon Cruiser Type-D"/>
        <s v="Phanon Cruiser Type-F"/>
        <s v="Phanon Dreadnought"/>
        <s v="Phanon Titan Type-A"/>
        <s v="Phoenix"/>
        <s v="Pteranodon"/>
        <s v="Python"/>
        <s v="Ray"/>
        <s v="Solaris"/>
        <s v="T"/>
        <s v="Taipan"/>
        <s v="Titan"/>
        <s v="Tobosaku"/>
        <s v="Tyr"/>
        <s v="V"/>
        <s v="Valhalla"/>
        <s v="Z"/>
        <s v="#deca"/>
        <s v="Aran"/>
        <s v="Carrier"/>
        <s v="Colossus"/>
        <s v="Condor"/>
        <s v="Emeus"/>
        <s v="Galleon"/>
        <s v="Hoshi"/>
        <s v="J"/>
        <s v="Nagoya"/>
        <s v="Odin"/>
        <s v="Phanon Cruiser Type-B"/>
        <s v="Phanon Cruiser Type-E"/>
        <s v="Phanon Flagship"/>
        <s v="Phanon OWP 1 Starport"/>
        <s v="Phanon OWP 2 Starhold"/>
        <s v="Phanon Science Carrier"/>
        <s v="Polacca"/>
        <s v="Raptor"/>
        <s v="Shark"/>
        <s v="Tokyo"/>
        <s v="Woden"/>
        <s v="Zeus"/>
        <s v="AP Gunner"/>
        <s v="Appallox"/>
        <s v="Centaur"/>
        <s v="Corvette"/>
        <s v="Dragon"/>
        <s v="Dragon Sentinel"/>
        <s v="Dragon Vanguard"/>
        <s v="Heavy Centaur"/>
        <s v="Heavy Centaur Advanced"/>
        <s v="Heavy Dragon"/>
        <s v="Heavy Dragon Advanced"/>
        <s v="Heavy Hydra"/>
        <s v="Heavy Hydra Advanced"/>
        <s v="Heavy Nemesis"/>
        <s v="Heavy Nemesis Advanced"/>
        <s v="Heavy Osprey"/>
        <s v="Heavy Osprey Advanced"/>
        <s v="Hydra"/>
        <s v="Hydra Sentinel"/>
        <s v="Hydra Vanguard"/>
        <s v="Hyperion"/>
        <s v="Katana"/>
        <s v="Logich"/>
        <s v="Logich Raider"/>
        <s v="Macana"/>
        <s v="Marlin"/>
        <s v="Marlin Raider"/>
        <s v="Morrigu"/>
        <s v="Nemesis"/>
        <s v="Nemesis Sentinel"/>
        <s v="Nemesis Vanguard"/>
        <s v="Osprey"/>
        <s v="Osprey Hauler"/>
        <s v="Osprey Sentinel"/>
        <s v="Osprey Vanguard"/>
        <s v="P"/>
        <s v="P Raider"/>
        <s v="P Sentinel"/>
        <s v="Phanon Corvette Type-A"/>
        <s v="Phanon Corvette Type-B"/>
        <s v="Phanon Corvette Type-C"/>
        <s v="Phantom"/>
        <s v="Proteus"/>
        <s v="Proteus Raider"/>
        <s v="PX"/>
        <s v="Quasar"/>
        <s v="Senshi"/>
        <s v="Senshi Raider"/>
        <s v="Setanta"/>
        <s v="Shuri"/>
        <s v="Sirokos"/>
        <s v="Skiron"/>
        <s v="Springblossom"/>
        <s v="Springblossom Raider"/>
        <s v="Tempestine"/>
        <s v="Toukon"/>
        <s v="Truelight Seeker"/>
        <s v="Vali"/>
        <s v="Vidar"/>
        <s v="#deca.cefa"/>
        <s v="Aamon"/>
        <s v="Albion Pride"/>
        <s v="Arrow"/>
        <s v="Barracuda"/>
        <s v="Barracuda Advanced"/>
        <s v="Barracuda Raider"/>
        <s v="Barracuda Sentinel"/>
        <s v="Barracuda Vanguard"/>
        <s v="Blastclaw"/>
        <s v="Chimera"/>
        <s v="Chimera Vanguard"/>
        <s v="Cougar"/>
        <s v="Cougar Raider"/>
        <s v="Cutlass"/>
        <s v="Eclipse"/>
        <s v="Falchion"/>
        <s v="Falcon"/>
        <s v="Falcon Raider"/>
        <s v="Falcon Sentinel"/>
        <s v="Falcon Tanker"/>
        <s v="Falcon Vanguard"/>
        <s v="Fenrir"/>
        <s v="Fighter"/>
        <s v="Kea"/>
        <s v="Kea Advanced"/>
        <s v="Kea Hauler"/>
        <s v="L"/>
        <s v="LX"/>
        <s v="Mamba"/>
        <s v="Mamba Advanced"/>
        <s v="Mamba Raider"/>
        <s v="Mamba Sentinel"/>
        <s v="Mamba Vanguard"/>
        <s v="Medusa"/>
        <s v="Medusa Hauler"/>
        <s v="Notus"/>
        <s v="Nova"/>
        <s v="Penatron"/>
        <s v="Perseus"/>
        <s v="Perseus Vanguard"/>
        <s v="Perseus Raider"/>
        <s v="Perseus Sentinel"/>
        <s v="Phanon Fighter"/>
        <s v="Scimitar"/>
        <s v="Skate"/>
        <s v="Skate Hauler"/>
        <s v="Spitfyre"/>
        <s v="Starburst"/>
        <s v="Susanova"/>
        <s v="Susanova Hauler"/>
        <s v="Susanova Raider"/>
        <s v="Tenjin"/>
        <s v="Tenjin Sentinel"/>
        <s v="Thor"/>
        <s v="Thor Advanced"/>
        <s v="Venti"/>
        <s v="Venti Advanced"/>
        <s v="Verdandi"/>
      </sharedItems>
    </cacheField>
    <cacheField name="Class" numFmtId="0">
      <sharedItems>
        <s v="TS"/>
        <s v="TP"/>
        <s v="TM"/>
        <s v="TL"/>
        <s v="M8"/>
        <s v="M7"/>
        <s v="M7C"/>
        <s v="M7M"/>
        <s v="M5"/>
        <s v="M4"/>
        <s v="M2"/>
        <s v="M1"/>
        <s v="M6"/>
        <s v="M3"/>
      </sharedItems>
    </cacheField>
    <cacheField name="Faction" numFmtId="0">
      <sharedItems>
        <s v="Tr"/>
        <s v="S"/>
        <s v="P"/>
        <s v="B"/>
        <s v="X"/>
        <s v="A"/>
        <s v="Ph"/>
        <s v="Td"/>
        <s v="Y"/>
        <s v="I"/>
        <s v="O"/>
        <s v="K"/>
      </sharedItems>
    </cacheField>
    <cacheField name="Hull Plating" numFmtId="0">
      <sharedItems containsSemiMixedTypes="0" containsString="0" containsNumber="1" containsInteger="1">
        <n v="151.0"/>
        <n v="165.0"/>
        <n v="194.0"/>
        <n v="297.0"/>
        <n v="88.0"/>
        <n v="98.0"/>
        <n v="78.0"/>
        <n v="82.0"/>
        <n v="83.0"/>
        <n v="65.0"/>
        <n v="68.0"/>
        <n v="125.0"/>
        <n v="87.0"/>
        <n v="114.0"/>
        <n v="160.0"/>
        <n v="130.0"/>
        <n v="80.0"/>
        <n v="71.0"/>
        <n v="116.0"/>
        <n v="113.0"/>
        <n v="97.0"/>
        <n v="161.0"/>
        <n v="243.0"/>
        <n v="322.0"/>
        <n v="162.0"/>
        <n v="334.0"/>
        <n v="137.0"/>
        <n v="205.0"/>
        <n v="29.0"/>
        <n v="59.0"/>
        <n v="307.0"/>
        <n v="457.0"/>
        <n v="186.0"/>
        <n v="214.0"/>
        <n v="351.0"/>
        <n v="280.0"/>
        <n v="200.0"/>
        <n v="163.0"/>
        <n v="251.0"/>
        <n v="293.0"/>
        <n v="443.0"/>
        <n v="241.0"/>
        <n v="1032.0"/>
        <n v="659.0"/>
        <n v="824.0"/>
        <n v="614.0"/>
        <n v="673.0"/>
        <n v="801.0"/>
        <n v="685.0"/>
        <n v="857.0"/>
        <n v="732.0"/>
        <n v="1144.0"/>
        <n v="563.0"/>
        <n v="314.0"/>
        <n v="393.0"/>
        <n v="651.0"/>
        <n v="768.0"/>
        <n v="1235.0"/>
        <n v="1653.0"/>
        <n v="2031.0"/>
        <n v="2075.0"/>
        <n v="2219.0"/>
        <n v="2844.0"/>
        <n v="1784.0"/>
        <n v="1938.0"/>
        <n v="2738.0"/>
        <n v="2720.0"/>
        <n v="1488.0"/>
        <n v="325.0"/>
        <n v="431.0"/>
        <n v="500.0"/>
        <n v="701.0"/>
        <n v="237.0"/>
        <n v="395.0"/>
        <n v="467.0"/>
        <n v="807.0"/>
        <n v="4303.0"/>
        <n v="6452.0"/>
        <n v="3789.0"/>
        <n v="4521.0"/>
        <n v="3488.0"/>
        <n v="3843.0"/>
        <n v="5408.0"/>
        <n v="5471.0"/>
        <n v="621.0"/>
        <n v="2462.0"/>
        <n v="5129.0"/>
        <n v="5007.0"/>
        <n v="4363.0"/>
        <n v="5864.0"/>
        <n v="4806.0"/>
        <n v="3737.0"/>
        <n v="2275.0"/>
        <n v="2809.0"/>
        <n v="1878.0"/>
        <n v="1996.0"/>
        <n v="2490.0"/>
        <n v="2884.0"/>
        <n v="728.0"/>
        <n v="2973.0"/>
        <n v="6979.0"/>
        <n v="4993.0"/>
        <n v="5356.0"/>
        <n v="4556.0"/>
        <n v="3064.0"/>
        <n v="4591.0"/>
        <n v="4774.0"/>
        <n v="2985.0"/>
        <n v="4580.0"/>
        <n v="5737.0"/>
        <n v="6375.0"/>
        <n v="3167.0"/>
        <n v="3180.0"/>
        <n v="2989.0"/>
        <n v="3366.0"/>
        <n v="5238.0"/>
        <n v="3507.0"/>
        <n v="1695.0"/>
        <n v="4052.0"/>
        <n v="3253.0"/>
        <n v="5050.0"/>
        <n v="6.0"/>
        <n v="27.0"/>
        <n v="30.0"/>
        <n v="44.0"/>
        <n v="33.0"/>
        <n v="35.0"/>
        <n v="13.0"/>
        <n v="15.0"/>
        <n v="32.0"/>
        <n v="34.0"/>
        <n v="39.0"/>
        <n v="16.0"/>
        <n v="31.0"/>
        <n v="25.0"/>
        <n v="22.0"/>
        <n v="72.0"/>
        <n v="48.0"/>
        <n v="66.0"/>
        <n v="74.0"/>
        <n v="40.0"/>
        <n v="26.0"/>
        <n v="54.0"/>
        <n v="36.0"/>
        <n v="58.0"/>
        <n v="43.0"/>
        <n v="28.0"/>
        <n v="41.0"/>
        <n v="57.0"/>
        <n v="73.0"/>
        <n v="12.0"/>
        <n v="49.0"/>
        <n v="61.0"/>
        <n v="70.0"/>
        <n v="60.0"/>
        <n v="85.0"/>
        <n v="63.0"/>
        <n v="62.0"/>
        <n v="95.0"/>
        <n v="13140.0"/>
        <n v="9593.0"/>
        <n v="12245.0"/>
        <n v="6537.0"/>
        <n v="6076.0"/>
        <n v="8859.0"/>
        <n v="6297.0"/>
        <n v="16705.0"/>
        <n v="2473.0"/>
        <n v="22565.0"/>
        <n v="6109.0"/>
        <n v="36254.0"/>
        <n v="10198.0"/>
        <n v="12440.0"/>
        <n v="7378.0"/>
        <n v="29373.0"/>
        <n v="17961.0"/>
        <n v="15670.0"/>
        <n v="8992.0"/>
        <n v="15515.0"/>
        <n v="7197.0"/>
        <n v="10562.0"/>
        <n v="14227.0"/>
        <n v="10189.0"/>
        <n v="11819.0"/>
        <n v="10513.0"/>
        <n v="8040.0"/>
        <n v="8609.0"/>
        <n v="9565.0"/>
        <n v="8959.0"/>
        <n v="16262.0"/>
        <n v="22111.0"/>
        <n v="9584.0"/>
        <n v="8075.0"/>
        <n v="9085.0"/>
        <n v="10229.0"/>
        <n v="11874.0"/>
        <n v="2533.0"/>
        <n v="11307.0"/>
        <n v="8794.0"/>
        <n v="31005.0"/>
        <n v="15742.0"/>
        <n v="2375.0"/>
        <n v="28152.0"/>
        <n v="10699.0"/>
        <n v="1409.0"/>
        <n v="8520.0"/>
        <n v="910.0"/>
        <n v="4118.0"/>
        <n v="3486.0"/>
        <n v="4574.0"/>
        <n v="3829.0"/>
        <n v="6033.0"/>
        <n v="3927.0"/>
        <n v="9141.0"/>
        <n v="5513.0"/>
        <n v="7335.0"/>
        <n v="4283.0"/>
        <n v="4547.0"/>
        <n v="34865.0"/>
        <n v="5373.0"/>
        <n v="8140.0"/>
        <n v="4911.0"/>
        <n v="1117.0"/>
        <n v="4390.0"/>
        <n v="4579.0"/>
        <n v="12348.0"/>
        <n v="7072.0"/>
        <n v="3537.0"/>
        <n v="1007.0"/>
        <n v="1405.0"/>
        <n v="1054.0"/>
        <n v="995.0"/>
        <n v="1332.0"/>
        <n v="887.0"/>
        <n v="1069.0"/>
        <n v="1119.0"/>
        <n v="1112.0"/>
        <n v="1648.0"/>
        <n v="1237.0"/>
        <n v="1576.0"/>
        <n v="1132.0"/>
        <n v="1374.0"/>
        <n v="1342.0"/>
        <n v="1744.0"/>
        <n v="1004.0"/>
        <n v="892.0"/>
        <n v="984.0"/>
        <n v="1028.0"/>
        <n v="1583.0"/>
        <n v="1560.0"/>
        <n v="1779.0"/>
        <n v="2174.0"/>
        <n v="1303.0"/>
        <n v="915.0"/>
        <n v="1250.0"/>
        <n v="1404.0"/>
        <n v="825.0"/>
        <n v="1154.0"/>
        <n v="1209.0"/>
        <n v="1156.0"/>
        <n v="810.0"/>
        <n v="661.0"/>
        <n v="913.0"/>
        <n v="1110.0"/>
        <n v="1036.0"/>
        <n v="1057.0"/>
        <n v="628.0"/>
        <n v="901.0"/>
        <n v="2548.0"/>
        <n v="1178.0"/>
        <n v="1701.0"/>
        <n v="340.0"/>
        <n v="1192.0"/>
        <n v="1134.0"/>
        <n v="1377.0"/>
        <n v="1461.0"/>
        <n v="2010.0"/>
        <n v="1207.0"/>
        <n v="1480.0"/>
        <n v="1022.0"/>
        <n v="1889.0"/>
        <n v="2289.0"/>
        <n v="1888.0"/>
        <n v="153.0"/>
        <n v="167.0"/>
        <n v="328.0"/>
        <n v="109.0"/>
        <n v="96.0"/>
        <n v="129.0"/>
        <n v="123.0"/>
        <n v="120.0"/>
        <n v="128.0"/>
        <n v="132.0"/>
        <n v="155.0"/>
        <n v="178.0"/>
        <n v="190.0"/>
        <n v="228.0"/>
        <n v="278.0"/>
        <n v="184.0"/>
        <n v="91.0"/>
        <n v="101.0"/>
        <n v="148.0"/>
        <n v="76.0"/>
        <n v="90.0"/>
        <n v="158.0"/>
        <n v="141.0"/>
        <n v="150.0"/>
        <n v="191.0"/>
        <n v="138.0"/>
        <n v="117.0"/>
        <n v="142.0"/>
        <n v="135.0"/>
        <n v="121.0"/>
        <n v="154.0"/>
        <n v="196.0"/>
        <n v="182.0"/>
        <n v="92.0"/>
        <n v="285.0"/>
        <n v="118.0"/>
        <n v="233.0"/>
        <n v="292.0"/>
        <n v="176.0"/>
        <n v="229.0"/>
      </sharedItems>
    </cacheField>
    <cacheField name="Crystals" numFmtId="0">
      <sharedItems containsSemiMixedTypes="0" containsString="0" containsNumber="1" containsInteger="1">
        <n v="35.0"/>
        <n v="39.0"/>
        <n v="45.0"/>
        <n v="69.0"/>
        <n v="20.0"/>
        <n v="23.0"/>
        <n v="18.0"/>
        <n v="19.0"/>
        <n v="15.0"/>
        <n v="29.0"/>
        <n v="26.0"/>
        <n v="76.0"/>
        <n v="30.0"/>
        <n v="16.0"/>
        <n v="22.0"/>
        <n v="37.0"/>
        <n v="57.0"/>
        <n v="38.0"/>
        <n v="78.0"/>
        <n v="31.0"/>
        <n v="48.0"/>
        <n v="6.0"/>
        <n v="13.0"/>
        <n v="72.0"/>
        <n v="104.0"/>
        <n v="44.0"/>
        <n v="50.0"/>
        <n v="82.0"/>
        <n v="66.0"/>
        <n v="46.0"/>
        <n v="59.0"/>
        <n v="103.0"/>
        <n v="245.0"/>
        <n v="156.0"/>
        <n v="194.0"/>
        <n v="146.0"/>
        <n v="160.0"/>
        <n v="190.0"/>
        <n v="162.0"/>
        <n v="203.0"/>
        <n v="173.0"/>
        <n v="271.0"/>
        <n v="133.0"/>
        <n v="74.0"/>
        <n v="92.0"/>
        <n v="154.0"/>
        <n v="182.0"/>
        <n v="297.0"/>
        <n v="393.0"/>
        <n v="482.0"/>
        <n v="492.0"/>
        <n v="527.0"/>
        <n v="676.0"/>
        <n v="424.0"/>
        <n v="461.0"/>
        <n v="651.0"/>
        <n v="647.0"/>
        <n v="708.0"/>
        <n v="77.0"/>
        <n v="102.0"/>
        <n v="118.0"/>
        <n v="166.0"/>
        <n v="55.0"/>
        <n v="79.0"/>
        <n v="110.0"/>
        <n v="191.0"/>
        <n v="93.0"/>
        <n v="1023.0"/>
        <n v="1535.0"/>
        <n v="901.0"/>
        <n v="1075.0"/>
        <n v="1661.0"/>
        <n v="914.0"/>
        <n v="1287.0"/>
        <n v="1301.0"/>
        <n v="295.0"/>
        <n v="585.0"/>
        <n v="1220.0"/>
        <n v="1191.0"/>
        <n v="1038.0"/>
        <n v="1395.0"/>
        <n v="1144.0"/>
        <n v="889.0"/>
        <n v="541.0"/>
        <n v="668.0"/>
        <n v="447.0"/>
        <n v="474.0"/>
        <n v="593.0"/>
        <n v="1372.0"/>
        <n v="346.0"/>
        <n v="707.0"/>
        <n v="1188.0"/>
        <n v="1275.0"/>
        <n v="1084.0"/>
        <n v="728.0"/>
        <n v="1092.0"/>
        <n v="1136.0"/>
        <n v="709.0"/>
        <n v="2180.0"/>
        <n v="1365.0"/>
        <n v="1517.0"/>
        <n v="753.0"/>
        <n v="756.0"/>
        <n v="711.0"/>
        <n v="801.0"/>
        <n v="1246.0"/>
        <n v="835.0"/>
        <n v="403.0"/>
        <n v="963.0"/>
        <n v="774.0"/>
        <n v="1202.0"/>
        <n v="2.0"/>
        <n v="10.0"/>
        <n v="7.0"/>
        <n v="3.0"/>
        <n v="17.0"/>
        <n v="5.0"/>
        <n v="11.0"/>
        <n v="8.0"/>
        <n v="12.0"/>
        <n v="14.0"/>
        <n v="3128.0"/>
        <n v="2283.0"/>
        <n v="2914.0"/>
        <n v="1555.0"/>
        <n v="1446.0"/>
        <n v="2109.0"/>
        <n v="1498.0"/>
        <n v="3975.0"/>
        <n v="589.0"/>
        <n v="5372.0"/>
        <n v="1454.0"/>
        <n v="8632.0"/>
        <n v="2426.0"/>
        <n v="5923.0"/>
        <n v="3512.0"/>
        <n v="6993.0"/>
        <n v="4276.0"/>
        <n v="3729.0"/>
        <n v="2139.0"/>
        <n v="3696.0"/>
        <n v="1712.0"/>
        <n v="2514.0"/>
        <n v="3387.0"/>
        <n v="2425.0"/>
        <n v="2814.0"/>
        <n v="2501.0"/>
        <n v="1913.0"/>
        <n v="2049.0"/>
        <n v="2277.0"/>
        <n v="2132.0"/>
        <n v="3870.0"/>
        <n v="5264.0"/>
        <n v="2282.0"/>
        <n v="1922.0"/>
        <n v="2163.0"/>
        <n v="2434.0"/>
        <n v="2827.0"/>
        <n v="1206.0"/>
        <n v="2690.0"/>
        <n v="2092.0"/>
        <n v="7382.0"/>
        <n v="3747.0"/>
        <n v="1130.0"/>
        <n v="6703.0"/>
        <n v="5095.0"/>
        <n v="670.0"/>
        <n v="2028.0"/>
        <n v="215.0"/>
        <n v="980.0"/>
        <n v="829.0"/>
        <n v="1088.0"/>
        <n v="910.0"/>
        <n v="1436.0"/>
        <n v="1869.0"/>
        <n v="2175.0"/>
        <n v="1311.0"/>
        <n v="1746.0"/>
        <n v="1019.0"/>
        <n v="1082.0"/>
        <n v="8300.0"/>
        <n v="1278.0"/>
        <n v="1938.0"/>
        <n v="1168.0"/>
        <n v="793.0"/>
        <n v="1043.0"/>
        <n v="1089.0"/>
        <n v="2940.0"/>
        <n v="1684.0"/>
        <n v="840.0"/>
        <n v="238.0"/>
        <n v="333.0"/>
        <n v="250.0"/>
        <n v="236.0"/>
        <n v="316.0"/>
        <n v="210.0"/>
        <n v="253.0"/>
        <n v="265.0"/>
        <n v="264.0"/>
        <n v="392.0"/>
        <n v="293.0"/>
        <n v="374.0"/>
        <n v="269.0"/>
        <n v="326.0"/>
        <n v="318.0"/>
        <n v="414.0"/>
        <n v="212.0"/>
        <n v="233.0"/>
        <n v="243.0"/>
        <n v="375.0"/>
        <n v="370.0"/>
        <n v="422.0"/>
        <n v="516.0"/>
        <n v="309.0"/>
        <n v="217.0"/>
        <n v="334.0"/>
        <n v="195.0"/>
        <n v="273.0"/>
        <n v="287.0"/>
        <n v="274.0"/>
        <n v="193.0"/>
        <n v="157.0"/>
        <n v="434.0"/>
        <n v="528.0"/>
        <n v="251.0"/>
        <n v="149.0"/>
        <n v="214.0"/>
        <n v="607.0"/>
        <n v="279.0"/>
        <n v="161.0"/>
        <n v="283.0"/>
        <n v="327.0"/>
        <n v="347.0"/>
        <n v="477.0"/>
        <n v="351.0"/>
        <n v="242.0"/>
        <n v="449.0"/>
        <n v="544.0"/>
        <n v="25.0"/>
        <n v="27.0"/>
        <n v="36.0"/>
        <n v="41.0"/>
        <n v="43.0"/>
        <n v="53.0"/>
        <n v="21.0"/>
        <n v="24.0"/>
        <n v="34.0"/>
        <n v="33.0"/>
        <n v="32.0"/>
        <n v="67.0"/>
        <n v="54.0"/>
        <n v="68.0"/>
      </sharedItems>
    </cacheField>
    <cacheField name="Computer Components" numFmtId="0">
      <sharedItems containsSemiMixedTypes="0" containsString="0" containsNumber="1" containsInteger="1">
        <n v="35.0"/>
        <n v="39.0"/>
        <n v="45.0"/>
        <n v="69.0"/>
        <n v="20.0"/>
        <n v="23.0"/>
        <n v="18.0"/>
        <n v="19.0"/>
        <n v="15.0"/>
        <n v="29.0"/>
        <n v="26.0"/>
        <n v="38.0"/>
        <n v="30.0"/>
        <n v="16.0"/>
        <n v="22.0"/>
        <n v="37.0"/>
        <n v="57.0"/>
        <n v="76.0"/>
        <n v="78.0"/>
        <n v="31.0"/>
        <n v="48.0"/>
        <n v="6.0"/>
        <n v="13.0"/>
        <n v="72.0"/>
        <n v="107.0"/>
        <n v="44.0"/>
        <n v="50.0"/>
        <n v="82.0"/>
        <n v="66.0"/>
        <n v="46.0"/>
        <n v="59.0"/>
        <n v="103.0"/>
        <n v="245.0"/>
        <n v="156.0"/>
        <n v="194.0"/>
        <n v="146.0"/>
        <n v="160.0"/>
        <n v="190.0"/>
        <n v="162.0"/>
        <n v="203.0"/>
        <n v="173.0"/>
        <n v="271.0"/>
        <n v="133.0"/>
        <n v="74.0"/>
        <n v="92.0"/>
        <n v="154.0"/>
        <n v="182.0"/>
        <n v="297.0"/>
        <n v="393.0"/>
        <n v="482.0"/>
        <n v="492.0"/>
        <n v="527.0"/>
        <n v="676.0"/>
        <n v="424.0"/>
        <n v="461.0"/>
        <n v="651.0"/>
        <n v="647.0"/>
        <n v="354.0"/>
        <n v="77.0"/>
        <n v="102.0"/>
        <n v="118.0"/>
        <n v="166.0"/>
        <n v="55.0"/>
        <n v="79.0"/>
        <n v="110.0"/>
        <n v="191.0"/>
        <n v="93.0"/>
        <n v="1023.0"/>
        <n v="1535.0"/>
        <n v="901.0"/>
        <n v="1075.0"/>
        <n v="830.0"/>
        <n v="914.0"/>
        <n v="1287.0"/>
        <n v="1301.0"/>
        <n v="590.0"/>
        <n v="585.0"/>
        <n v="1220.0"/>
        <n v="1191.0"/>
        <n v="1038.0"/>
        <n v="1395.0"/>
        <n v="1144.0"/>
        <n v="889.0"/>
        <n v="541.0"/>
        <n v="668.0"/>
        <n v="447.0"/>
        <n v="474.0"/>
        <n v="593.0"/>
        <n v="686.0"/>
        <n v="692.0"/>
        <n v="707.0"/>
        <n v="1661.0"/>
        <n v="1188.0"/>
        <n v="1275.0"/>
        <n v="1084.0"/>
        <n v="728.0"/>
        <n v="1092.0"/>
        <n v="1136.0"/>
        <n v="709.0"/>
        <n v="1090.0"/>
        <n v="1365.0"/>
        <n v="1517.0"/>
        <n v="753.0"/>
        <n v="756.0"/>
        <n v="711.0"/>
        <n v="801.0"/>
        <n v="1246.0"/>
        <n v="835.0"/>
        <n v="403.0"/>
        <n v="963.0"/>
        <n v="774.0"/>
        <n v="1202.0"/>
        <n v="4.0"/>
        <n v="10.0"/>
        <n v="7.0"/>
        <n v="2.0"/>
        <n v="3.0"/>
        <n v="17.0"/>
        <n v="5.0"/>
        <n v="11.0"/>
        <n v="14.0"/>
        <n v="8.0"/>
        <n v="12.0"/>
        <n v="3128.0"/>
        <n v="2283.0"/>
        <n v="2914.0"/>
        <n v="1555.0"/>
        <n v="1446.0"/>
        <n v="2109.0"/>
        <n v="1498.0"/>
        <n v="3975.0"/>
        <n v="589.0"/>
        <n v="5372.0"/>
        <n v="1454.0"/>
        <n v="8632.0"/>
        <n v="2426.0"/>
        <n v="2961.0"/>
        <n v="1756.0"/>
        <n v="6993.0"/>
        <n v="4276.0"/>
        <n v="3729.0"/>
        <n v="2139.0"/>
        <n v="3696.0"/>
        <n v="1712.0"/>
        <n v="2514.0"/>
        <n v="3387.0"/>
        <n v="2425.0"/>
        <n v="2814.0"/>
        <n v="2501.0"/>
        <n v="1913.0"/>
        <n v="2049.0"/>
        <n v="2277.0"/>
        <n v="2132.0"/>
        <n v="3870.0"/>
        <n v="5264.0"/>
        <n v="2282.0"/>
        <n v="1922.0"/>
        <n v="2163.0"/>
        <n v="2434.0"/>
        <n v="2827.0"/>
        <n v="2412.0"/>
        <n v="2690.0"/>
        <n v="2092.0"/>
        <n v="7382.0"/>
        <n v="3747.0"/>
        <n v="2260.0"/>
        <n v="6703.0"/>
        <n v="2549.0"/>
        <n v="1340.0"/>
        <n v="2028.0"/>
        <n v="215.0"/>
        <n v="980.0"/>
        <n v="829.0"/>
        <n v="1088.0"/>
        <n v="910.0"/>
        <n v="1436.0"/>
        <n v="934.0"/>
        <n v="2175.0"/>
        <n v="1311.0"/>
        <n v="1746.0"/>
        <n v="1019.0"/>
        <n v="1082.0"/>
        <n v="8300.0"/>
        <n v="1278.0"/>
        <n v="1938.0"/>
        <n v="1168.0"/>
        <n v="793.0"/>
        <n v="1043.0"/>
        <n v="1089.0"/>
        <n v="2940.0"/>
        <n v="1684.0"/>
        <n v="840.0"/>
        <n v="238.0"/>
        <n v="333.0"/>
        <n v="250.0"/>
        <n v="236.0"/>
        <n v="316.0"/>
        <n v="210.0"/>
        <n v="253.0"/>
        <n v="265.0"/>
        <n v="264.0"/>
        <n v="392.0"/>
        <n v="293.0"/>
        <n v="374.0"/>
        <n v="269.0"/>
        <n v="326.0"/>
        <n v="318.0"/>
        <n v="414.0"/>
        <n v="212.0"/>
        <n v="233.0"/>
        <n v="243.0"/>
        <n v="375.0"/>
        <n v="370.0"/>
        <n v="422.0"/>
        <n v="516.0"/>
        <n v="309.0"/>
        <n v="217.0"/>
        <n v="334.0"/>
        <n v="195.0"/>
        <n v="273.0"/>
        <n v="287.0"/>
        <n v="274.0"/>
        <n v="193.0"/>
        <n v="157.0"/>
        <n v="246.0"/>
        <n v="251.0"/>
        <n v="149.0"/>
        <n v="214.0"/>
        <n v="607.0"/>
        <n v="279.0"/>
        <n v="322.0"/>
        <n v="283.0"/>
        <n v="327.0"/>
        <n v="347.0"/>
        <n v="477.0"/>
        <n v="351.0"/>
        <n v="242.0"/>
        <n v="449.0"/>
        <n v="544.0"/>
        <n v="24.0"/>
        <n v="25.0"/>
        <n v="27.0"/>
        <n v="36.0"/>
        <n v="41.0"/>
        <n v="43.0"/>
        <n v="53.0"/>
        <n v="21.0"/>
        <n v="34.0"/>
        <n v="33.0"/>
        <n v="32.0"/>
        <n v="67.0"/>
        <n v="54.0"/>
        <n v="68.0"/>
      </sharedItems>
    </cacheField>
    <cacheField name="Quantum Tubes" numFmtId="0">
      <sharedItems containsSemiMixedTypes="0" containsString="0" containsNumber="1" containsInteger="1">
        <n v="151.0"/>
        <n v="165.0"/>
        <n v="194.0"/>
        <n v="297.0"/>
        <n v="88.0"/>
        <n v="98.0"/>
        <n v="78.0"/>
        <n v="82.0"/>
        <n v="83.0"/>
        <n v="65.0"/>
        <n v="68.0"/>
        <n v="125.0"/>
        <n v="87.0"/>
        <n v="114.0"/>
        <n v="640.0"/>
        <n v="130.0"/>
        <n v="80.0"/>
        <n v="71.0"/>
        <n v="116.0"/>
        <n v="113.0"/>
        <n v="97.0"/>
        <n v="161.0"/>
        <n v="243.0"/>
        <n v="322.0"/>
        <n v="162.0"/>
        <n v="334.0"/>
        <n v="137.0"/>
        <n v="205.0"/>
        <n v="29.0"/>
        <n v="59.0"/>
        <n v="307.0"/>
        <n v="457.0"/>
        <n v="186.0"/>
        <n v="214.0"/>
        <n v="351.0"/>
        <n v="280.0"/>
        <n v="200.0"/>
        <n v="163.0"/>
        <n v="251.0"/>
        <n v="293.0"/>
        <n v="443.0"/>
        <n v="241.0"/>
        <n v="1032.0"/>
        <n v="659.0"/>
        <n v="824.0"/>
        <n v="614.0"/>
        <n v="673.0"/>
        <n v="801.0"/>
        <n v="685.0"/>
        <n v="857.0"/>
        <n v="732.0"/>
        <n v="1144.0"/>
        <n v="563.0"/>
        <n v="314.0"/>
        <n v="393.0"/>
        <n v="651.0"/>
        <n v="768.0"/>
        <n v="1235.0"/>
        <n v="1653.0"/>
        <n v="2031.0"/>
        <n v="2075.0"/>
        <n v="2219.0"/>
        <n v="2844.0"/>
        <n v="1784.0"/>
        <n v="1938.0"/>
        <n v="2738.0"/>
        <n v="2720.0"/>
        <n v="5952.0"/>
        <n v="325.0"/>
        <n v="431.0"/>
        <n v="500.0"/>
        <n v="701.0"/>
        <n v="237.0"/>
        <n v="395.0"/>
        <n v="467.0"/>
        <n v="807.0"/>
        <n v="4303.0"/>
        <n v="6452.0"/>
        <n v="3789.0"/>
        <n v="4521.0"/>
        <n v="13954.0"/>
        <n v="3843.0"/>
        <n v="5408.0"/>
        <n v="5471.0"/>
        <n v="621.0"/>
        <n v="2462.0"/>
        <n v="5129.0"/>
        <n v="5007.0"/>
        <n v="4363.0"/>
        <n v="5864.0"/>
        <n v="4806.0"/>
        <n v="3737.0"/>
        <n v="2275.0"/>
        <n v="2809.0"/>
        <n v="1878.0"/>
        <n v="1996.0"/>
        <n v="2490.0"/>
        <n v="11536.0"/>
        <n v="728.0"/>
        <n v="2973.0"/>
        <n v="6979.0"/>
        <n v="4993.0"/>
        <n v="5356.0"/>
        <n v="4556.0"/>
        <n v="3064.0"/>
        <n v="4591.0"/>
        <n v="4774.0"/>
        <n v="2985.0"/>
        <n v="18320.0"/>
        <n v="5737.0"/>
        <n v="6375.0"/>
        <n v="3167.0"/>
        <n v="3180.0"/>
        <n v="2989.0"/>
        <n v="3366.0"/>
        <n v="5238.0"/>
        <n v="3507.0"/>
        <n v="1695.0"/>
        <n v="4052.0"/>
        <n v="3253.0"/>
        <n v="5050.0"/>
        <n v="6.0"/>
        <n v="27.0"/>
        <n v="30.0"/>
        <n v="44.0"/>
        <n v="33.0"/>
        <n v="35.0"/>
        <n v="13.0"/>
        <n v="15.0"/>
        <n v="32.0"/>
        <n v="34.0"/>
        <n v="39.0"/>
        <n v="16.0"/>
        <n v="124.0"/>
        <n v="25.0"/>
        <n v="31.0"/>
        <n v="22.0"/>
        <n v="72.0"/>
        <n v="48.0"/>
        <n v="66.0"/>
        <n v="74.0"/>
        <n v="40.0"/>
        <n v="26.0"/>
        <n v="54.0"/>
        <n v="36.0"/>
        <n v="58.0"/>
        <n v="43.0"/>
        <n v="41.0"/>
        <n v="57.0"/>
        <n v="73.0"/>
        <n v="12.0"/>
        <n v="49.0"/>
        <n v="61.0"/>
        <n v="70.0"/>
        <n v="60.0"/>
        <n v="85.0"/>
        <n v="63.0"/>
        <n v="62.0"/>
        <n v="95.0"/>
        <n v="13140.0"/>
        <n v="9593.0"/>
        <n v="12245.0"/>
        <n v="6537.0"/>
        <n v="6076.0"/>
        <n v="8859.0"/>
        <n v="6297.0"/>
        <n v="16705.0"/>
        <n v="2473.0"/>
        <n v="22565.0"/>
        <n v="6109.0"/>
        <n v="36254.0"/>
        <n v="10198.0"/>
        <n v="49762.0"/>
        <n v="29512.0"/>
        <n v="29373.0"/>
        <n v="17961.0"/>
        <n v="15670.0"/>
        <n v="8992.0"/>
        <n v="15515.0"/>
        <n v="7197.0"/>
        <n v="10562.0"/>
        <n v="14227.0"/>
        <n v="10189.0"/>
        <n v="11819.0"/>
        <n v="10513.0"/>
        <n v="8040.0"/>
        <n v="8609.0"/>
        <n v="9565.0"/>
        <n v="8959.0"/>
        <n v="16262.0"/>
        <n v="22111.0"/>
        <n v="9584.0"/>
        <n v="8075.0"/>
        <n v="9085.0"/>
        <n v="10229.0"/>
        <n v="11874.0"/>
        <n v="2533.0"/>
        <n v="11307.0"/>
        <n v="8794.0"/>
        <n v="31005.0"/>
        <n v="15742.0"/>
        <n v="2375.0"/>
        <n v="28152.0"/>
        <n v="42798.0"/>
        <n v="1409.0"/>
        <n v="8520.0"/>
        <n v="910.0"/>
        <n v="4118.0"/>
        <n v="3486.0"/>
        <n v="4574.0"/>
        <n v="3829.0"/>
        <n v="6033.0"/>
        <n v="15708.0"/>
        <n v="9141.0"/>
        <n v="5513.0"/>
        <n v="7335.0"/>
        <n v="4283.0"/>
        <n v="4547.0"/>
        <n v="34865.0"/>
        <n v="5373.0"/>
        <n v="8140.0"/>
        <n v="4911.0"/>
        <n v="1117.0"/>
        <n v="4390.0"/>
        <n v="4579.0"/>
        <n v="12348.0"/>
        <n v="7072.0"/>
        <n v="3537.0"/>
        <n v="1007.0"/>
        <n v="1405.0"/>
        <n v="1054.0"/>
        <n v="995.0"/>
        <n v="1332.0"/>
        <n v="887.0"/>
        <n v="1069.0"/>
        <n v="1119.0"/>
        <n v="1112.0"/>
        <n v="1648.0"/>
        <n v="1237.0"/>
        <n v="1576.0"/>
        <n v="1132.0"/>
        <n v="1374.0"/>
        <n v="1342.0"/>
        <n v="1744.0"/>
        <n v="1004.0"/>
        <n v="892.0"/>
        <n v="984.0"/>
        <n v="1028.0"/>
        <n v="1583.0"/>
        <n v="1560.0"/>
        <n v="1779.0"/>
        <n v="2174.0"/>
        <n v="1303.0"/>
        <n v="915.0"/>
        <n v="1250.0"/>
        <n v="1404.0"/>
        <n v="825.0"/>
        <n v="1154.0"/>
        <n v="1209.0"/>
        <n v="1156.0"/>
        <n v="810.0"/>
        <n v="661.0"/>
        <n v="3654.0"/>
        <n v="4442.0"/>
        <n v="4146.0"/>
        <n v="1057.0"/>
        <n v="628.0"/>
        <n v="901.0"/>
        <n v="2548.0"/>
        <n v="1178.0"/>
        <n v="1701.0"/>
        <n v="340.0"/>
        <n v="1192.0"/>
        <n v="1134.0"/>
        <n v="1377.0"/>
        <n v="1461.0"/>
        <n v="2010.0"/>
        <n v="1207.0"/>
        <n v="1480.0"/>
        <n v="1022.0"/>
        <n v="1889.0"/>
        <n v="2289.0"/>
        <n v="1888.0"/>
        <n v="153.0"/>
        <n v="167.0"/>
        <n v="328.0"/>
        <n v="109.0"/>
        <n v="96.0"/>
        <n v="129.0"/>
        <n v="123.0"/>
        <n v="120.0"/>
        <n v="128.0"/>
        <n v="132.0"/>
        <n v="155.0"/>
        <n v="178.0"/>
        <n v="190.0"/>
        <n v="228.0"/>
        <n v="278.0"/>
        <n v="160.0"/>
        <n v="184.0"/>
        <n v="91.0"/>
        <n v="101.0"/>
        <n v="148.0"/>
        <n v="304.0"/>
        <n v="362.0"/>
        <n v="158.0"/>
        <n v="141.0"/>
        <n v="150.0"/>
        <n v="191.0"/>
        <n v="138.0"/>
        <n v="117.0"/>
        <n v="142.0"/>
        <n v="135.0"/>
        <n v="121.0"/>
        <n v="154.0"/>
        <n v="196.0"/>
        <n v="182.0"/>
        <n v="92.0"/>
        <n v="285.0"/>
        <n v="118.0"/>
        <n v="233.0"/>
        <n v="292.0"/>
        <n v="176.0"/>
        <n v="229.0"/>
      </sharedItems>
    </cacheField>
    <cacheField name="Pop" numFmtId="0">
      <sharedItems containsSemiMixedTypes="0" containsString="0" containsNumber="1" containsInteger="1">
        <n v="1.0"/>
        <n v="3.0"/>
        <n v="2.0"/>
        <n v="0.0"/>
        <n v="8.0"/>
        <n v="4.0"/>
        <n v="6.0"/>
        <n v="32.0"/>
        <n v="30.0"/>
        <n v="19.0"/>
        <n v="26.0"/>
        <n v="23.0"/>
        <n v="56.0"/>
        <n v="22.0"/>
        <n v="24.0"/>
        <n v="14.0"/>
        <n v="38.0"/>
        <n v="13.0"/>
        <n v="16.0"/>
        <n v="31.0"/>
        <n v="21.0"/>
        <n v="28.0"/>
        <n v="36.0"/>
        <n v="40.0"/>
        <n v="58.0"/>
        <n v="11.0"/>
        <n v="20.0"/>
        <n v="7.0"/>
        <n v="45.0"/>
        <n v="18.0"/>
        <n v="100.0"/>
        <n v="33.0"/>
        <n v="52.0"/>
        <n v="60.0"/>
        <n v="51.0"/>
        <n v="10.0"/>
        <n v="80.0"/>
        <n v="50.0"/>
        <n v="90.0"/>
        <n v="34.0"/>
        <n v="73.0"/>
        <n v="63.0"/>
        <n v="72.0"/>
        <n v="39.0"/>
        <n v="66.0"/>
        <n v="43.0"/>
        <n v="47.0"/>
        <n v="75.0"/>
        <n v="68.0"/>
        <n v="64.0"/>
        <n v="15.0"/>
        <n v="55.0"/>
        <n v="88.0"/>
        <n v="27.0"/>
        <n v="42.0"/>
        <n v="46.0"/>
        <n v="70.0"/>
        <n v="5.0"/>
        <n v="12.0"/>
      </sharedItems>
    </cacheField>
    <cacheField name="Supply" numFmtId="0">
      <sharedItems containsSemiMixedTypes="0" containsString="0" containsNumber="1" containsInteger="1">
        <n v="6.0"/>
        <n v="7.0"/>
        <n v="8.0"/>
        <n v="13.0"/>
        <n v="4.0"/>
        <n v="3.0"/>
        <n v="2.0"/>
        <n v="5.0"/>
        <n v="10.0"/>
        <n v="11.0"/>
        <n v="14.0"/>
        <n v="9.0"/>
        <n v="1.0"/>
        <n v="20.0"/>
        <n v="15.0"/>
        <n v="12.0"/>
        <n v="45.0"/>
        <n v="29.0"/>
        <n v="37.0"/>
        <n v="26.0"/>
        <n v="35.0"/>
        <n v="36.0"/>
        <n v="32.0"/>
        <n v="50.0"/>
        <n v="24.0"/>
        <n v="17.0"/>
        <n v="28.0"/>
        <n v="33.0"/>
        <n v="54.0"/>
        <n v="72.0"/>
        <n v="91.0"/>
        <n v="88.0"/>
        <n v="96.0"/>
        <n v="124.0"/>
        <n v="77.0"/>
        <n v="84.0"/>
        <n v="119.0"/>
        <n v="118.0"/>
        <n v="97.0"/>
        <n v="18.0"/>
        <n v="25.0"/>
        <n v="16.0"/>
        <n v="193.0"/>
        <n v="281.0"/>
        <n v="160.0"/>
        <n v="197.0"/>
        <n v="228.0"/>
        <n v="167.0"/>
        <n v="236.0"/>
        <n v="238.0"/>
        <n v="81.0"/>
        <n v="107.0"/>
        <n v="224.0"/>
        <n v="218.0"/>
        <n v="190.0"/>
        <n v="256.0"/>
        <n v="209.0"/>
        <n v="163.0"/>
        <n v="99.0"/>
        <n v="122.0"/>
        <n v="82.0"/>
        <n v="87.0"/>
        <n v="108.0"/>
        <n v="188.0"/>
        <n v="95.0"/>
        <n v="129.0"/>
        <n v="304.0"/>
        <n v="233.0"/>
        <n v="198.0"/>
        <n v="200.0"/>
        <n v="202.0"/>
        <n v="130.0"/>
        <n v="300.0"/>
        <n v="250.0"/>
        <n v="287.0"/>
        <n v="138.0"/>
        <n v="147.0"/>
        <n v="222.0"/>
        <n v="157.0"/>
        <n v="74.0"/>
        <n v="176.0"/>
        <n v="142.0"/>
        <n v="220.0"/>
        <n v="573.0"/>
        <n v="418.0"/>
        <n v="534.0"/>
        <n v="285.0"/>
        <n v="265.0"/>
        <n v="386.0"/>
        <n v="274.0"/>
        <n v="708.0"/>
        <n v="985.0"/>
        <n v="266.0"/>
        <n v="1582.0"/>
        <n v="445.0"/>
        <n v="814.0"/>
        <n v="483.0"/>
        <n v="1282.0"/>
        <n v="784.0"/>
        <n v="705.0"/>
        <n v="381.0"/>
        <n v="677.0"/>
        <n v="305.0"/>
        <n v="461.0"/>
        <n v="621.0"/>
        <n v="444.0"/>
        <n v="516.0"/>
        <n v="459.0"/>
        <n v="351.0"/>
        <n v="375.0"/>
        <n v="417.0"/>
        <n v="391.0"/>
        <n v="710.0"/>
        <n v="965.0"/>
        <n v="352.0"/>
        <n v="409.0"/>
        <n v="446.0"/>
        <n v="518.0"/>
        <n v="331.0"/>
        <n v="508.0"/>
        <n v="384.0"/>
        <n v="1353.0"/>
        <n v="687.0"/>
        <n v="311.0"/>
        <n v="1229.0"/>
        <n v="700.0"/>
        <n v="184.0"/>
        <n v="372.0"/>
        <n v="39.0"/>
        <n v="179.0"/>
        <n v="152.0"/>
        <n v="199.0"/>
        <n v="263.0"/>
        <n v="257.0"/>
        <n v="399.0"/>
        <n v="240.0"/>
        <n v="320.0"/>
        <n v="187.0"/>
        <n v="1522.0"/>
        <n v="234.0"/>
        <n v="355.0"/>
        <n v="214.0"/>
        <n v="145.0"/>
        <n v="539.0"/>
        <n v="308.0"/>
        <n v="149.0"/>
        <n v="44.0"/>
        <n v="63.0"/>
        <n v="46.0"/>
        <n v="43.0"/>
        <n v="58.0"/>
        <n v="40.0"/>
        <n v="48.0"/>
        <n v="55.0"/>
        <n v="71.0"/>
        <n v="49.0"/>
        <n v="60.0"/>
        <n v="56.0"/>
        <n v="67.0"/>
        <n v="68.0"/>
        <n v="61.0"/>
        <n v="51.0"/>
        <n v="59.0"/>
        <n v="27.0"/>
        <n v="111.0"/>
        <n v="52.0"/>
        <n v="64.0"/>
        <n v="100.0"/>
      </sharedItems>
    </cacheField>
    <cacheField name="Maintenance (cr/cycle)" numFmtId="0">
      <sharedItems containsSemiMixedTypes="0" containsString="0" containsNumber="1" containsInteger="1">
        <n v="94.0"/>
        <n v="103.0"/>
        <n v="121.0"/>
        <n v="254.0"/>
        <n v="57.0"/>
        <n v="63.0"/>
        <n v="51.0"/>
        <n v="50.0"/>
        <n v="39.0"/>
        <n v="42.0"/>
        <n v="78.0"/>
        <n v="54.0"/>
        <n v="71.0"/>
        <n v="105.0"/>
        <n v="201.0"/>
        <n v="60.0"/>
        <n v="37.0"/>
        <n v="32.0"/>
        <n v="52.0"/>
        <n v="45.0"/>
        <n v="104.0"/>
        <n v="211.0"/>
        <n v="202.0"/>
        <n v="101.0"/>
        <n v="209.0"/>
        <n v="79.0"/>
        <n v="160.0"/>
        <n v="86.0"/>
        <n v="172.0"/>
        <n v="18.0"/>
        <n v="191.0"/>
        <n v="387.0"/>
        <n v="129.0"/>
        <n v="219.0"/>
        <n v="234.0"/>
        <n v="125.0"/>
        <n v="189.0"/>
        <n v="150.0"/>
        <n v="646.0"/>
        <n v="425.0"/>
        <n v="534.0"/>
        <n v="384.0"/>
        <n v="421.0"/>
        <n v="677.0"/>
        <n v="417.0"/>
        <n v="522.0"/>
        <n v="459.0"/>
        <n v="969.0"/>
        <n v="261.0"/>
        <n v="195.0"/>
        <n v="246.0"/>
        <n v="407.0"/>
        <n v="481.0"/>
        <n v="397.0"/>
        <n v="774.0"/>
        <n v="1036.0"/>
        <n v="1311.0"/>
        <n v="1263.0"/>
        <n v="1030.0"/>
        <n v="1782.0"/>
        <n v="828.0"/>
        <n v="1214.0"/>
        <n v="1717.0"/>
        <n v="1705.0"/>
        <n v="1867.0"/>
        <n v="255.0"/>
        <n v="294.0"/>
        <n v="413.0"/>
        <n v="268.0"/>
        <n v="76.0"/>
        <n v="97.0"/>
        <n v="475.0"/>
        <n v="180.0"/>
        <n v="240.0"/>
        <n v="2780.0"/>
        <n v="4044.0"/>
        <n v="2306.0"/>
        <n v="2100.0"/>
        <n v="4374.0"/>
        <n v="2409.0"/>
        <n v="3390.0"/>
        <n v="3428.0"/>
        <n v="777.0"/>
        <n v="1543.0"/>
        <n v="3217.0"/>
        <n v="3139.0"/>
        <n v="2735.0"/>
        <n v="3676.0"/>
        <n v="2232.0"/>
        <n v="2343.0"/>
        <n v="1426.0"/>
        <n v="1761.0"/>
        <n v="1177.0"/>
        <n v="1252.0"/>
        <n v="1560.0"/>
        <n v="3617.0"/>
        <n v="912.0"/>
        <n v="1863.0"/>
        <n v="4378.0"/>
        <n v="3227.0"/>
        <n v="3358.0"/>
        <n v="2856.0"/>
        <n v="1864.0"/>
        <n v="2131.0"/>
        <n v="2906.0"/>
        <n v="1387.0"/>
        <n v="5744.0"/>
        <n v="3596.0"/>
        <n v="4121.0"/>
        <n v="1986.0"/>
        <n v="1992.0"/>
        <n v="1873.0"/>
        <n v="1563.0"/>
        <n v="3188.0"/>
        <n v="2267.0"/>
        <n v="1062.0"/>
        <n v="2540.0"/>
        <n v="1510.0"/>
        <n v="2039.0"/>
        <n v="3165.0"/>
        <n v="6.0"/>
        <n v="12.0"/>
        <n v="13.0"/>
        <n v="20.0"/>
        <n v="19.0"/>
        <n v="21.0"/>
        <n v="17.0"/>
        <n v="8.0"/>
        <n v="9.0"/>
        <n v="22.0"/>
        <n v="25.0"/>
        <n v="47.0"/>
        <n v="38.0"/>
        <n v="14.0"/>
        <n v="10.0"/>
        <n v="43.0"/>
        <n v="29.0"/>
        <n v="41.0"/>
        <n v="15.0"/>
        <n v="34.0"/>
        <n v="27.0"/>
        <n v="31.0"/>
        <n v="26.0"/>
        <n v="35.0"/>
        <n v="30.0"/>
        <n v="55.0"/>
        <n v="59.0"/>
        <n v="8238.0"/>
        <n v="4455.0"/>
        <n v="5687.0"/>
        <n v="4097.0"/>
        <n v="2823.0"/>
        <n v="5554.0"/>
        <n v="3947.0"/>
        <n v="10169.0"/>
        <n v="1551.0"/>
        <n v="10480.0"/>
        <n v="3830.0"/>
        <n v="22732.0"/>
        <n v="6393.0"/>
        <n v="15602.0"/>
        <n v="9253.0"/>
        <n v="18418.0"/>
        <n v="11261.0"/>
        <n v="10129.0"/>
        <n v="5474.0"/>
        <n v="9727.0"/>
        <n v="4380.0"/>
        <n v="6623.0"/>
        <n v="8921.0"/>
        <n v="6389.0"/>
        <n v="7411.0"/>
        <n v="5691.0"/>
        <n v="5040.0"/>
        <n v="5397.0"/>
        <n v="5997.0"/>
        <n v="5618.0"/>
        <n v="10196.0"/>
        <n v="13863.0"/>
        <n v="6009.0"/>
        <n v="5063.0"/>
        <n v="5873.0"/>
        <n v="6413.0"/>
        <n v="7444.0"/>
        <n v="3176.0"/>
        <n v="7308.0"/>
        <n v="4085.0"/>
        <n v="19442.0"/>
        <n v="9871.0"/>
        <n v="2977.0"/>
        <n v="17651.0"/>
        <n v="13418.0"/>
        <n v="1767.0"/>
        <n v="3957.0"/>
        <n v="569.0"/>
        <n v="1912.0"/>
        <n v="2185.0"/>
        <n v="287.0"/>
        <n v="2401.0"/>
        <n v="3781.0"/>
        <n v="4924.0"/>
        <n v="5730.0"/>
        <n v="3456.0"/>
        <n v="4597.0"/>
        <n v="2685.0"/>
        <n v="2852.0"/>
        <n v="21860.0"/>
        <n v="3369.0"/>
        <n v="5103.0"/>
        <n v="3078.0"/>
        <n v="2091.0"/>
        <n v="2837.0"/>
        <n v="2872.0"/>
        <n v="7741.0"/>
        <n v="4434.0"/>
        <n v="2152.0"/>
        <n v="468.0"/>
        <n v="908.0"/>
        <n v="660.0"/>
        <n v="461.0"/>
        <n v="835.0"/>
        <n v="574.0"/>
        <n v="691.0"/>
        <n v="723.0"/>
        <n v="517.0"/>
        <n v="1032.0"/>
        <n v="798.0"/>
        <n v="1375.0"/>
        <n v="708.0"/>
        <n v="1162.0"/>
        <n v="817.0"/>
        <n v="1433.0"/>
        <n v="629.0"/>
        <n v="559.0"/>
        <n v="617.0"/>
        <n v="644.0"/>
        <n v="962.0"/>
        <n v="977.0"/>
        <n v="1114.0"/>
        <n v="1362.0"/>
        <n v="784.0"/>
        <n v="879.0"/>
        <n v="502.0"/>
        <n v="703.0"/>
        <n v="736.0"/>
        <n v="724.0"/>
        <n v="507.0"/>
        <n v="414.0"/>
        <n v="1145.0"/>
        <n v="1392.0"/>
        <n v="1298.0"/>
        <n v="661.0"/>
        <n v="394.0"/>
        <n v="564.0"/>
        <n v="1184.0"/>
        <n v="718.0"/>
        <n v="1035.0"/>
        <n v="554.0"/>
        <n v="710.0"/>
        <n v="862.0"/>
        <n v="915.0"/>
        <n v="1258.0"/>
        <n v="537.0"/>
        <n v="560.0"/>
        <n v="687.0"/>
        <n v="1063.0"/>
        <n v="77.0"/>
        <n v="206.0"/>
        <n v="68.0"/>
        <n v="108.0"/>
        <n v="75.0"/>
        <n v="74.0"/>
        <n v="82.0"/>
        <n v="100.0"/>
        <n v="114.0"/>
        <n v="123.0"/>
        <n v="147.0"/>
        <n v="173.0"/>
        <n v="88.0"/>
        <n v="95.0"/>
        <n v="62.0"/>
        <n v="80.0"/>
        <n v="124.0"/>
        <n v="112.0"/>
        <n v="72.0"/>
        <n v="139.0"/>
        <n v="90.0"/>
        <n v="115.0"/>
        <n v="91.0"/>
        <n v="116.0"/>
        <n v="131.0"/>
        <n v="58.0"/>
        <n v="145.0"/>
        <n v="181.0"/>
        <n v="102.0"/>
        <n v="143.0"/>
      </sharedItems>
    </cacheField>
    <cacheField name="Speed (m/s)" numFmtId="0">
      <sharedItems containsSemiMixedTypes="0" containsString="0" containsNumber="1" containsInteger="1">
        <n v="160.0"/>
        <n v="174.0"/>
        <n v="195.0"/>
        <n v="158.0"/>
        <n v="130.0"/>
        <n v="119.0"/>
        <n v="144.0"/>
        <n v="185.0"/>
        <n v="121.0"/>
        <n v="143.0"/>
        <n v="124.0"/>
        <n v="93.0"/>
        <n v="110.0"/>
        <n v="232.0"/>
        <n v="255.0"/>
        <n v="95.0"/>
        <n v="104.0"/>
        <n v="133.0"/>
        <n v="165.0"/>
        <n v="155.0"/>
        <n v="135.0"/>
        <n v="149.0"/>
        <n v="180.0"/>
        <n v="140.0"/>
        <n v="226.0"/>
        <n v="115.0"/>
        <n v="139.0"/>
        <n v="159.0"/>
        <n v="241.0"/>
        <n v="265.0"/>
        <n v="189.0"/>
        <n v="215.0"/>
        <n v="111.0"/>
        <n v="300.0"/>
        <n v="448.0"/>
        <n v="350.0"/>
        <n v="400.0"/>
        <n v="200.0"/>
        <n v="315.0"/>
        <n v="269.0"/>
        <n v="410.0"/>
        <n v="75.0"/>
        <n v="113.0"/>
        <n v="64.0"/>
        <n v="127.0"/>
        <n v="96.0"/>
        <n v="98.0"/>
        <n v="248.0"/>
        <n v="199.0"/>
        <n v="162.0"/>
        <n v="178.0"/>
        <n v="210.0"/>
        <n v="182.0"/>
        <n v="275.0"/>
        <n v="147.0"/>
        <n v="201.0"/>
        <n v="164.0"/>
        <n v="219.0"/>
        <n v="97.0"/>
        <n v="94.0"/>
        <n v="88.0"/>
        <n v="126.0"/>
        <n v="107.0"/>
        <n v="102.0"/>
        <n v="116.0"/>
        <n v="128.0"/>
        <n v="134.0"/>
        <n v="105.0"/>
        <n v="161.0"/>
        <n v="80.0"/>
        <n v="166.0"/>
        <n v="209.0"/>
        <n v="510.0"/>
        <n v="532.0"/>
        <n v="563.0"/>
        <n v="545.0"/>
        <n v="577.0"/>
        <n v="490.0"/>
        <n v="519.0"/>
        <n v="721.0"/>
        <n v="564.0"/>
        <n v="765.0"/>
        <n v="531.0"/>
        <n v="580.0"/>
        <n v="549.0"/>
        <n v="422.0"/>
        <n v="581.0"/>
        <n v="561.0"/>
        <n v="541.0"/>
        <n v="387.0"/>
        <n v="495.0"/>
        <n v="383.0"/>
        <n v="408.0"/>
        <n v="342.0"/>
        <n v="380.0"/>
        <n v="364.0"/>
        <n v="335.0"/>
        <n v="298.0"/>
        <n v="334.0"/>
        <n v="356.0"/>
        <n v="369.0"/>
        <n v="320.0"/>
        <n v="252.0"/>
        <n v="316.0"/>
        <n v="266.0"/>
        <n v="368.0"/>
        <n v="406.0"/>
        <n v="432.0"/>
        <n v="303.0"/>
        <n v="293.0"/>
        <n v="398.0"/>
        <n v="423.0"/>
        <n v="327.0"/>
        <n v="427.0"/>
        <n v="452.0"/>
        <n v="374.0"/>
        <n v="70.0"/>
        <n v="86.0"/>
        <n v="90.0"/>
        <n v="84.0"/>
        <n v="92.0"/>
        <n v="83.0"/>
        <n v="138.0"/>
        <n v="136.0"/>
        <n v="123.0"/>
        <n v="117.0"/>
        <n v="101.0"/>
        <n v="122.0"/>
        <n v="60.0"/>
        <n v="99.0"/>
        <n v="67.0"/>
        <n v="2.0"/>
        <n v="154.0"/>
        <n v="292.0"/>
        <n v="239.0"/>
        <n v="203.0"/>
        <n v="244.0"/>
        <n v="191.0"/>
        <n v="259.0"/>
        <n v="170.0"/>
        <n v="225.0"/>
        <n v="207.0"/>
        <n v="175.0"/>
        <n v="217.0"/>
        <n v="236.0"/>
        <n v="129.0"/>
        <n v="213.0"/>
        <n v="179.0"/>
        <n v="177.0"/>
        <n v="197.0"/>
        <n v="231.0"/>
        <n v="233.0"/>
        <n v="181.0"/>
        <n v="171.0"/>
        <n v="168.0"/>
        <n v="211.0"/>
        <n v="194.0"/>
        <n v="120.0"/>
        <n v="187.0"/>
        <n v="277.0"/>
        <n v="247.0"/>
        <n v="318.0"/>
        <n v="305.0"/>
        <n v="250.0"/>
        <n v="337.0"/>
        <n v="308.0"/>
        <n v="288.0"/>
        <n v="309.0"/>
        <n v="249.0"/>
        <n v="276.0"/>
        <n v="295.0"/>
        <n v="307.0"/>
        <n v="384.0"/>
        <n v="290.0"/>
        <n v="415.0"/>
        <n v="240.0"/>
        <n v="326.0"/>
        <n v="329.0"/>
        <n v="294.0"/>
        <n v="267.0"/>
        <n v="274.0"/>
        <n v="254.0"/>
        <n v="310.0"/>
      </sharedItems>
    </cacheField>
    <cacheField name="Cargo Size" numFmtId="0">
      <sharedItems containsBlank="1">
        <s v="XL"/>
        <s v="L"/>
        <s v="ST"/>
        <s v="M"/>
        <m/>
      </sharedItems>
    </cacheField>
    <cacheField name="Cargo" numFmtId="0">
      <sharedItems containsSemiMixedTypes="0" containsString="0" containsNumber="1" containsInteger="1">
        <n v="27000.0"/>
        <n v="36000.0"/>
        <n v="13000.0"/>
        <n v="45000.0"/>
        <n v="15000.0"/>
        <n v="29000.0"/>
        <n v="11000.0"/>
        <n v="18000.0"/>
        <n v="23000.0"/>
        <n v="9000.0"/>
        <n v="12000.0"/>
        <n v="40000.0"/>
        <n v="19000.0"/>
        <n v="32000.0"/>
        <n v="31000.0"/>
        <n v="46000.0"/>
        <n v="25000.0"/>
        <n v="6000.0"/>
        <n v="8000.0"/>
        <n v="35000.0"/>
        <n v="37000.0"/>
        <n v="21000.0"/>
        <n v="14000.0"/>
        <n v="16000.0"/>
        <n v="22000.0"/>
        <n v="20000.0"/>
        <n v="28000.0"/>
        <n v="940.0"/>
        <n v="930.0"/>
        <n v="1237.0"/>
        <n v="840.0"/>
        <n v="920.0"/>
        <n v="910.0"/>
        <n v="1000.0"/>
        <n v="770.0"/>
        <n v="860.0"/>
        <n v="216000.0"/>
        <n v="137000.0"/>
        <n v="120000.0"/>
        <n v="145000.0"/>
        <n v="186000.0"/>
        <n v="116000.0"/>
        <n v="143000.0"/>
        <n v="179000.0"/>
        <n v="118000.0"/>
        <n v="134000.0"/>
        <n v="740.0"/>
        <n v="1060.0"/>
        <n v="760.0"/>
        <n v="540.0"/>
        <n v="718.0"/>
        <n v="600.0"/>
        <n v="798.0"/>
        <n v="4100.0"/>
        <n v="700.0"/>
        <n v="10000.0"/>
        <n v="7000.0"/>
        <n v="5000.0"/>
        <n v="34000.0"/>
        <n v="24000.0"/>
        <n v="3000.0"/>
        <n v="33000.0"/>
        <n v="105.0"/>
        <n v="135.0"/>
        <n v="180.0"/>
        <n v="239.0"/>
        <n v="195.0"/>
        <n v="210.0"/>
        <n v="165.0"/>
        <n v="160.0"/>
        <n v="150.0"/>
        <n v="220.0"/>
        <n v="90.0"/>
        <n v="300.0"/>
        <n v="225.0"/>
        <n v="200.0"/>
        <n v="120.0"/>
        <n v="143.0"/>
        <n v="259.0"/>
        <n v="17000.0"/>
        <n v="4000.0"/>
        <n v="41000.0"/>
        <n v="44000.0"/>
        <n v="30000.0"/>
        <n v="68000.0"/>
        <n v="65000.0"/>
        <n v="61000.0"/>
        <n v="69000.0"/>
        <n v="63000.0"/>
        <n v="47000.0"/>
        <n v="50000.0"/>
        <n v="49000.0"/>
        <n v="66000.0"/>
        <n v="131000.0"/>
        <n v="38000.0"/>
        <n v="26000.0"/>
        <n v="57000.0"/>
        <n v="51000.0"/>
        <n v="52000.0"/>
        <n v="224000.0"/>
        <n v="95000.0"/>
        <n v="144000.0"/>
        <n v="1575.0"/>
        <n v="1080.0"/>
        <n v="960.0"/>
        <n v="1650.0"/>
        <n v="1320.0"/>
        <n v="1560.0"/>
        <n v="1395.0"/>
        <n v="1710.0"/>
        <n v="1590.0"/>
        <n v="2100.0"/>
        <n v="1125.0"/>
        <n v="1725.0"/>
        <n v="1365.0"/>
        <n v="1750.0"/>
        <n v="1350.0"/>
        <n v="1635.0"/>
        <n v="1290.0"/>
        <n v="1305.0"/>
        <n v="1736.0"/>
        <n v="1260.0"/>
        <n v="4590.0"/>
        <n v="4312.0"/>
        <n v="4802.0"/>
        <n v="2750.0"/>
        <n v="2150.0"/>
        <n v="1545.0"/>
        <n v="1245.0"/>
        <n v="1230.0"/>
        <n v="1665.0"/>
        <n v="1200.0"/>
        <n v="2790.0"/>
        <n v="1500.0"/>
        <n v="990.0"/>
        <n v="315.0"/>
        <n v="345.0"/>
        <n v="375.0"/>
        <n v="127.0"/>
        <n v="285.0"/>
        <n v="330.0"/>
        <n v="390.0"/>
        <n v="270.0"/>
        <n v="204.0"/>
        <n v="219.0"/>
        <n v="359.0"/>
        <n v="240.0"/>
        <n v="319.0"/>
        <n v="117.0"/>
        <n v="242.0"/>
        <n v="399.0"/>
        <n v="585.0"/>
        <n v="435.0"/>
      </sharedItems>
    </cacheField>
    <cacheField name="Shield (k)" numFmtId="0">
      <sharedItems containsSemiMixedTypes="0" containsString="0" containsNumber="1" containsInteger="1">
        <n v="800.0"/>
        <n v="1600.0"/>
        <n v="2000.0"/>
        <n v="600.0"/>
        <n v="400.0"/>
        <n v="200.0"/>
        <n v="300.0"/>
        <n v="375.0"/>
        <n v="250.0"/>
        <n v="1000.0"/>
        <n v="125.0"/>
        <n v="1200.0"/>
        <n v="3000.0"/>
        <n v="6000.0"/>
        <n v="2200.0"/>
        <n v="50.0"/>
        <n v="4000.0"/>
        <n v="9000.0"/>
        <n v="5000.0"/>
        <n v="16000.0"/>
        <n v="12000.0"/>
        <n v="8000.0"/>
        <n v="10000.0"/>
        <n v="14000.0"/>
        <n v="5.0"/>
        <n v="3.0"/>
        <n v="2.0"/>
        <n v="6.0"/>
        <n v="4.0"/>
        <n v="8.0"/>
        <n v="30.0"/>
        <n v="25.0"/>
        <n v="10.0"/>
        <n v="15.0"/>
        <n v="40.0"/>
        <n v="20.0"/>
        <n v="18000.0"/>
        <n v="30000.0"/>
        <n v="32000.0"/>
        <n v="28000.0"/>
        <n v="26000.0"/>
        <n v="24000.0"/>
        <n v="20000.0"/>
        <n v="46000.0"/>
        <n v="325.0"/>
        <n v="1800.0"/>
        <n v="225.0"/>
        <n v="100.0"/>
        <n v="75.0"/>
        <n v="150.0"/>
      </sharedItems>
    </cacheField>
    <cacheField name="Generator (MW)" numFmtId="0">
      <sharedItems containsSemiMixedTypes="0" containsString="0" containsNumber="1" containsInteger="1">
        <n v="1155.0"/>
        <n v="1770.0"/>
        <n v="770.0"/>
        <n v="400.0"/>
        <n v="820.0"/>
        <n v="250.0"/>
        <n v="610.0"/>
        <n v="500.0"/>
        <n v="700.0"/>
        <n v="600.0"/>
        <n v="280.0"/>
        <n v="990.0"/>
        <n v="150.0"/>
        <n v="300.0"/>
        <n v="750.0"/>
        <n v="350.0"/>
        <n v="950.0"/>
        <n v="450.0"/>
        <n v="200.0"/>
        <n v="464.0"/>
        <n v="780.0"/>
        <n v="800.0"/>
        <n v="1800.0"/>
        <n v="1700.0"/>
        <n v="2550.0"/>
        <n v="1050.0"/>
        <n v="410.0"/>
        <n v="1480.0"/>
        <n v="900.0"/>
        <n v="2400.0"/>
        <n v="3300.0"/>
        <n v="2200.0"/>
        <n v="3100.0"/>
        <n v="9000.0"/>
        <n v="5100.0"/>
        <n v="2500.0"/>
        <n v="2420.0"/>
        <n v="5800.0"/>
        <n v="1200.0"/>
        <n v="5700.0"/>
        <n v="3600.0"/>
        <n v="2850.0"/>
        <n v="1900.0"/>
        <n v="2740.0"/>
        <n v="4650.0"/>
        <n v="1550.0"/>
        <n v="1100.0"/>
        <n v="80.0"/>
        <n v="50.0"/>
        <n v="20.0"/>
        <n v="10.0"/>
        <n v="40.0"/>
        <n v="30.0"/>
        <n v="120.0"/>
        <n v="90.0"/>
        <n v="60.0"/>
        <n v="225.0"/>
        <n v="100.0"/>
        <n v="75.0"/>
        <n v="180.0"/>
        <n v="5000.0"/>
        <n v="4000.0"/>
        <n v="2000.0"/>
        <n v="7000.0"/>
        <n v="3000.0"/>
        <n v="6000.0"/>
        <n v="14000.0"/>
        <n v="11000.0"/>
        <n v="8000.0"/>
        <n v="10000.0"/>
        <n v="18000.0"/>
        <n v="12000.0"/>
        <n v="810.0"/>
        <n v="1180.0"/>
        <n v="1485.0"/>
        <n v="1560.0"/>
        <n v="1600.0"/>
        <n v="1320.0"/>
        <n v="1400.0"/>
        <n v="1870.0"/>
        <n v="1215.0"/>
        <n v="288.0"/>
        <n v="261.0"/>
        <n v="1134.0"/>
        <n v="326.0"/>
        <n v="403.0"/>
        <n v="590.0"/>
      </sharedItems>
    </cacheField>
    <cacheField name="Hull (k)" numFmtId="0">
      <sharedItems containsSemiMixedTypes="0" containsString="0" containsNumber="1" containsInteger="1">
        <n v="203.0"/>
        <n v="308.0"/>
        <n v="500.0"/>
        <n v="150.0"/>
        <n v="152.0"/>
        <n v="202.0"/>
        <n v="151.0"/>
        <n v="100.0"/>
        <n v="103.0"/>
        <n v="306.0"/>
        <n v="142.0"/>
        <n v="255.0"/>
        <n v="254.0"/>
        <n v="450.0"/>
        <n v="384.0"/>
        <n v="380.0"/>
        <n v="400.0"/>
        <n v="407.0"/>
        <n v="590.0"/>
        <n v="252.0"/>
        <n v="253.0"/>
        <n v="304.0"/>
        <n v="508.0"/>
        <n v="70.0"/>
        <n v="201.0"/>
        <n v="468.0"/>
        <n v="447.0"/>
        <n v="448.0"/>
        <n v="600.0"/>
        <n v="405.0"/>
        <n v="427.0"/>
        <n v="412.0"/>
        <n v="513.0"/>
        <n v="700.0"/>
        <n v="5000.0"/>
        <n v="2000.0"/>
        <n v="4000.0"/>
        <n v="101.0"/>
        <n v="121.0"/>
        <n v="80.0"/>
        <n v="111.0"/>
        <n v="90.0"/>
        <n v="228.0"/>
        <n v="3000.0"/>
        <n v="947.0"/>
        <n v="6000.0"/>
        <n v="1000.0"/>
        <n v="7000.0"/>
        <n v="925.0"/>
        <n v="913.0"/>
        <n v="846.0"/>
        <n v="11.0"/>
        <n v="7.0"/>
        <n v="6.0"/>
        <n v="9.0"/>
        <n v="5.0"/>
        <n v="39.0"/>
        <n v="28.0"/>
        <n v="10.0"/>
        <n v="14.0"/>
        <n v="20.0"/>
        <n v="26.0"/>
        <n v="15000.0"/>
        <n v="9000.0"/>
        <n v="14000.0"/>
        <n v="10000.0"/>
        <n v="22000.0"/>
        <n v="30000.0"/>
        <n v="32000.0"/>
        <n v="16000.0"/>
        <n v="23000.0"/>
        <n v="20000.0"/>
        <n v="8000.0"/>
        <n v="21000.0"/>
        <n v="25000.0"/>
        <n v="29000.0"/>
        <n v="19000.0"/>
        <n v="13000.0"/>
        <n v="36000.0"/>
        <n v="48000.0"/>
        <n v="361.0"/>
        <n v="305.0"/>
        <n v="362.0"/>
        <n v="307.0"/>
        <n v="409.0"/>
        <n v="485.0"/>
        <n v="419.0"/>
        <n v="406.0"/>
        <n v="413.0"/>
        <n v="408.0"/>
        <n v="360.0"/>
        <n v="352.0"/>
        <n v="392.0"/>
        <n v="130.0"/>
        <n v="73.0"/>
        <n v="53.0"/>
        <n v="125.0"/>
        <n v="40.0"/>
        <n v="54.0"/>
        <n v="72.0"/>
        <n v="82.0"/>
        <n v="60.0"/>
        <n v="75.0"/>
        <n v="93.0"/>
        <n v="57.0"/>
        <n v="50.0"/>
        <n v="68.0"/>
        <n v="83.0"/>
        <n v="71.0"/>
        <n v="131.0"/>
      </sharedItems>
    </cacheField>
    <cacheField name="Turrets" numFmtId="0">
      <sharedItems containsSemiMixedTypes="0" containsString="0" containsNumber="1" containsInteger="1">
        <n v="1.0"/>
        <n v="3.0"/>
        <n v="0.0"/>
        <n v="4.0"/>
        <n v="2.0"/>
        <n v="5.0"/>
        <n v="6.0"/>
      </sharedItems>
    </cacheField>
    <cacheField name="Guns" numFmtId="0">
      <sharedItems containsSemiMixedTypes="0" containsString="0" containsNumber="1" containsInteger="1">
        <n v="4.0"/>
        <n v="8.0"/>
        <n v="12.0"/>
        <n v="0.0"/>
        <n v="6.0"/>
        <n v="16.0"/>
        <n v="2.0"/>
        <n v="1.0"/>
        <n v="5.0"/>
        <n v="10.0"/>
        <n v="3.0"/>
        <n v="14.0"/>
        <n v="48.0"/>
        <n v="32.0"/>
        <n v="22.0"/>
        <n v="20.0"/>
        <n v="24.0"/>
        <n v="18.0"/>
        <n v="34.0"/>
        <n v="26.0"/>
        <n v="7.0"/>
        <n v="42.0"/>
        <n v="44.0"/>
        <n v="28.0"/>
        <n v="40.0"/>
        <n v="38.0"/>
        <n v="66.0"/>
        <n v="72.0"/>
        <n v="25.0"/>
        <n v="46.0"/>
        <n v="30.0"/>
        <n v="50.0"/>
        <n v="80.0"/>
        <n v="36.0"/>
        <n v="56.0"/>
        <n v="60.0"/>
        <n v="62.0"/>
        <n v="68.0"/>
        <n v="64.0"/>
        <n v="19.0"/>
        <n v="11.0"/>
        <n v="15.0"/>
        <n v="9.0"/>
        <n v="13.0"/>
      </sharedItems>
    </cacheField>
    <cacheField name="Default" numFmtId="0">
      <sharedItems containsString="0" containsBlank="1">
        <m/>
      </sharedItems>
    </cacheField>
    <cacheField name="DPS (k)" numFmtId="0">
      <sharedItems containsSemiMixedTypes="0" containsString="0" containsNumber="1">
        <n v="4.0"/>
        <n v="14.0"/>
        <n v="1.0"/>
        <n v="3.0"/>
        <n v="0.0"/>
        <n v="5.0"/>
        <n v="9.0"/>
        <n v="2.0"/>
        <n v="0.456"/>
        <n v="0.493"/>
        <n v="7.0"/>
        <n v="10.0"/>
        <n v="8.0"/>
        <n v="16.0"/>
        <n v="11.0"/>
        <n v="6.0"/>
        <n v="21.0"/>
        <n v="17.0"/>
        <n v="65.0"/>
        <n v="58.0"/>
        <n v="0.772"/>
        <n v="0.765"/>
        <n v="98.0"/>
        <n v="103.0"/>
        <n v="67.0"/>
        <n v="61.0"/>
        <n v="75.0"/>
        <n v="55.0"/>
        <n v="32.0"/>
        <n v="74.0"/>
        <n v="160.0"/>
        <n v="72.0"/>
        <n v="112.0"/>
        <n v="57.0"/>
        <n v="66.0"/>
        <n v="71.0"/>
        <n v="62.0"/>
        <n v="59.0"/>
        <n v="80.0"/>
        <n v="29.0"/>
        <n v="40.0"/>
        <n v="48.0"/>
        <n v="30.0"/>
        <n v="37.0"/>
        <n v="12.0"/>
        <n v="27.0"/>
        <n v="18.0"/>
        <n v="191.0"/>
        <n v="175.0"/>
        <n v="167.0"/>
        <n v="124.0"/>
        <n v="159.0"/>
        <n v="185.0"/>
        <n v="173.0"/>
        <n v="269.0"/>
        <n v="287.0"/>
        <n v="652.0"/>
        <n v="101.0"/>
        <n v="380.0"/>
        <n v="435.0"/>
        <n v="438.0"/>
        <n v="337.0"/>
        <n v="163.0"/>
        <n v="114.0"/>
        <n v="362.0"/>
        <n v="398.0"/>
        <n v="271.0"/>
        <n v="308.0"/>
        <n v="235.0"/>
        <n v="453.0"/>
        <n v="725.0"/>
        <n v="164.0"/>
        <n v="255.0"/>
        <n v="131.0"/>
        <n v="231.0"/>
        <n v="282.0"/>
        <n v="215.0"/>
        <n v="143.0"/>
        <n v="507.0"/>
        <n v="291.0"/>
        <n v="616.0"/>
        <n v="580.0"/>
        <n v="150.0"/>
        <n v="24.0"/>
        <n v="111.0"/>
        <n v="92.0"/>
        <n v="86.0"/>
        <n v="224.0"/>
        <n v="149.0"/>
        <n v="199.0"/>
        <n v="253.0"/>
        <n v="166.0"/>
        <n v="217.0"/>
        <n v="168.0"/>
        <n v="22.0"/>
        <n v="31.0"/>
        <n v="60.0"/>
        <n v="34.0"/>
        <n v="23.0"/>
        <n v="28.0"/>
        <n v="38.0"/>
        <n v="26.0"/>
        <n v="25.0"/>
        <n v="54.0"/>
        <n v="45.0"/>
      </sharedItems>
    </cacheField>
    <cacheField name="Agility" numFmtId="0">
      <sharedItems containsSemiMixedTypes="0" containsString="0" containsNumber="1" containsInteger="1">
        <n v="281.0"/>
        <n v="351.0"/>
        <n v="337.0"/>
        <n v="295.0"/>
        <n v="299.0"/>
        <n v="379.0"/>
        <n v="365.0"/>
        <n v="253.0"/>
        <n v="359.0"/>
        <n v="323.0"/>
        <n v="309.0"/>
        <n v="328.0"/>
        <n v="562.0"/>
        <n v="539.0"/>
        <n v="609.0"/>
        <n v="375.0"/>
        <n v="492.0"/>
        <n v="398.0"/>
        <n v="585.0"/>
        <n v="224.0"/>
        <n v="149.0"/>
        <n v="247.0"/>
        <n v="202.0"/>
        <n v="249.0"/>
        <n v="179.0"/>
        <n v="258.0"/>
        <n v="199.0"/>
        <n v="899.0"/>
        <n v="1079.0"/>
        <n v="1012.0"/>
        <n v="1237.0"/>
        <n v="1484.0"/>
        <n v="787.0"/>
        <n v="187.0"/>
        <n v="262.0"/>
        <n v="449.0"/>
        <n v="229.0"/>
        <n v="2929.0"/>
        <n v="2460.0"/>
        <n v="2953.0"/>
        <n v="2695.0"/>
        <n v="3234.0"/>
        <n v="1875.0"/>
        <n v="2109.0"/>
        <n v="2578.0"/>
        <n v="3093.0"/>
        <n v="2343.0"/>
        <n v="2062.0"/>
        <n v="2156.0"/>
        <n v="2587.0"/>
        <n v="2250.0"/>
        <n v="2437.0"/>
        <n v="1687.0"/>
        <n v="2473.0"/>
        <n v="1968.0"/>
        <n v="1593.0"/>
        <n v="1912.0"/>
        <n v="1739.0"/>
        <n v="2362.0"/>
        <n v="2699.0"/>
        <n v="168.0"/>
        <n v="215.0"/>
        <n v="93.0"/>
        <n v="87.0"/>
        <n v="206.0"/>
        <n v="189.0"/>
        <n v="119.0"/>
        <n v="89.0"/>
        <n v="134.0"/>
        <n v="172.0"/>
        <n v="164.0"/>
        <n v="169.0"/>
        <n v="99.0"/>
        <n v="9.0"/>
        <n v="1829.0"/>
        <n v="506.0"/>
        <n v="478.0"/>
        <n v="646.0"/>
        <n v="393.0"/>
        <n v="703.0"/>
        <n v="843.0"/>
        <n v="674.0"/>
        <n v="590.0"/>
        <n v="708.0"/>
        <n v="599.0"/>
        <n v="859.0"/>
        <n v="607.0"/>
        <n v="618.0"/>
        <n v="742.0"/>
        <n v="1757.0"/>
        <n v="1546.0"/>
        <n v="1828.0"/>
        <n v="1406.0"/>
        <n v="1476.0"/>
        <n v="989.0"/>
        <n v="1125.0"/>
        <n v="549.0"/>
        <n v="759.0"/>
        <n v="1054.0"/>
        <n v="1617.0"/>
        <n v="939.0"/>
        <n v="1195.0"/>
        <n v="869.0"/>
        <n v="1856.0"/>
        <n v="1353.0"/>
      </sharedItems>
    </cacheField>
    <cacheField name="Docking Int" numFmtId="0">
      <sharedItems containsString="0" containsBlank="1" containsNumber="1" containsInteger="1">
        <m/>
        <n v="6.0"/>
        <n v="8.0"/>
        <n v="7.0"/>
        <n v="9.0"/>
        <n v="10.0"/>
        <n v="12.0"/>
        <n v="30.0"/>
        <n v="16.0"/>
        <n v="14.0"/>
        <n v="18.0"/>
        <n v="60.0"/>
        <n v="40.0"/>
        <n v="19.0"/>
        <n v="20.0"/>
        <n v="35.0"/>
        <n v="25.0"/>
        <n v="48.0"/>
        <n v="22.0"/>
        <n v="28.0"/>
        <n v="80.0"/>
        <n v="44.0"/>
        <n v="50.0"/>
      </sharedItems>
    </cacheField>
    <cacheField name="Docking Ext" numFmtId="0">
      <sharedItems containsString="0" containsBlank="1" containsNumber="1" containsInteger="1">
        <m/>
        <n v="8.0"/>
        <n v="4.0"/>
        <n v="3.0"/>
        <n v="6.0"/>
        <n v="1.0"/>
        <n v="12.0"/>
        <n v="2.0"/>
        <n v="24.0"/>
        <n v="10.0"/>
        <n v="20.0"/>
      </sharedItems>
    </cacheField>
    <cacheField name="S/H" numFmtId="4">
      <sharedItems containsSemiMixedTypes="0" containsString="0" containsNumber="1">
        <n v="3.9408866995073892"/>
        <n v="5.194805194805195"/>
        <n v="4.0"/>
        <n v="3.9473684210526314"/>
        <n v="2.9702970297029703"/>
        <n v="2.6490066225165565"/>
        <n v="2.0"/>
        <n v="1.941747572815534"/>
        <n v="0.9900990099009901"/>
        <n v="0.9803921568627451"/>
        <n v="0.75"/>
        <n v="4.225352112676056"/>
        <n v="2.3529411764705883"/>
        <n v="2.3622047244094486"/>
        <n v="1.9704433497536946"/>
        <n v="1.9801980198019802"/>
        <n v="1.948051948051948"/>
        <n v="1.7777777777777777"/>
        <n v="0.6510416666666666"/>
        <n v="0.6578947368421053"/>
        <n v="3.1496062992125986"/>
        <n v="2.5"/>
        <n v="3.1372549019607843"/>
        <n v="2.6315789473684212"/>
        <n v="1.25"/>
        <n v="1.4742014742014742"/>
        <n v="1.3559322033898304"/>
        <n v="1.5873015873015872"/>
        <n v="1.5810276679841897"/>
        <n v="1.2376237623762376"/>
        <n v="2.3715415019762847"/>
        <n v="0.5905511811023622"/>
        <n v="5.357142857142857"/>
        <n v="1.9607843137254901"/>
        <n v="1.8656716417910448"/>
        <n v="3.4188034188034186"/>
        <n v="1.7094017094017093"/>
        <n v="1.342281879194631"/>
        <n v="0.5580357142857143"/>
        <n v="0.8928571428571429"/>
        <n v="3.950617283950617"/>
        <n v="3.3333333333333335"/>
        <n v="0.9876543209876543"/>
        <n v="0.702576112412178"/>
        <n v="1.873536299765808"/>
        <n v="1.1695906432748537"/>
        <n v="1.1428571428571428"/>
        <n v="0.32"/>
        <n v="1.0"/>
        <n v="0.5"/>
        <n v="1.5"/>
        <n v="1.1"/>
        <n v="3.9603960396039604"/>
        <n v="3.3057851239669422"/>
        <n v="1.8018018018018018"/>
        <n v="0.5555555555555556"/>
        <n v="3.508771929824561"/>
        <n v="2.25"/>
        <n v="16.89545934530095"/>
        <n v="2.6666666666666665"/>
        <n v="6.0"/>
        <n v="3.0"/>
        <n v="4.324324324324325"/>
        <n v="3.285870755750274"/>
        <n v="4.7281323877068555"/>
        <n v="1.6"/>
        <n v="1.3333333333333333"/>
        <n v="0.45454545454545453"/>
        <n v="0.7142857142857143"/>
        <n v="0.8333333333333334"/>
        <n v="0.42857142857142855"/>
        <n v="0.2857142857142857"/>
        <n v="0.6666666666666666"/>
        <n v="0.4444444444444444"/>
        <n v="0.3333333333333333"/>
        <n v="0.8888888888888888"/>
        <n v="0.8571428571428571"/>
        <n v="0.4"/>
        <n v="0.5714285714285714"/>
        <n v="0.7692307692307693"/>
        <n v="1.0714285714285714"/>
        <n v="1.4285714285714286"/>
        <n v="1.7857142857142858"/>
        <n v="0.6410256410256411"/>
        <n v="0.9333333333333333"/>
        <n v="1.1111111111111112"/>
        <n v="0.8181818181818182"/>
        <n v="1.2173913043478262"/>
        <n v="0.7272727272727273"/>
        <n v="0.8"/>
        <n v="1.4"/>
        <n v="1.5555555555555556"/>
        <n v="1.2857142857142858"/>
        <n v="1.2380952380952381"/>
        <n v="0.96"/>
        <n v="1.0344827586206897"/>
        <n v="1.0526315789473684"/>
        <n v="1.2727272727272727"/>
        <n v="1.8666666666666667"/>
        <n v="0.6"/>
        <n v="1.6666666666666667"/>
        <n v="0.9230769230769231"/>
        <n v="1.3846153846153846"/>
        <n v="3.5"/>
        <n v="1.2777777777777777"/>
        <n v="0.16666666666666666"/>
        <n v="0.6153846153846154"/>
        <n v="1.243781094527363"/>
        <n v="2.770083102493075"/>
        <n v="1.3114754098360655"/>
        <n v="1.5748031496062993"/>
        <n v="0.6906077348066298"/>
        <n v="1.3029315960912051"/>
        <n v="0.9779951100244498"/>
        <n v="1.9736842105263157"/>
        <n v="1.6494845360824741"/>
        <n v="2.5974025974025974"/>
        <n v="2.2222222222222223"/>
        <n v="1.694915254237288"/>
        <n v="2.21606648199446"/>
        <n v="0.7756563245823389"/>
        <n v="1.9672131147540983"/>
        <n v="1.477832512315271"/>
        <n v="2.4213075060532687"/>
        <n v="3.896103896103896"/>
        <n v="5.8441558441558445"/>
        <n v="3.3240997229916895"/>
        <n v="1.466992665036675"/>
        <n v="2.6058631921824102"/>
        <n v="0.7328990228013029"/>
        <n v="0.5501222493887531"/>
        <n v="2.840909090909091"/>
        <n v="2.5510204081632653"/>
        <n v="3.257328990228013"/>
        <n v="3.314917127071823"/>
        <n v="3.883495145631068"/>
        <n v="1.3071895424836601"/>
        <n v="2.6143790849673203"/>
        <n v="4.419889502762431"/>
        <n v="1.2987012987012987"/>
        <n v="10.0"/>
        <n v="4.444444444444445"/>
        <n v="1.0273972602739727"/>
        <n v="2.358490566037736"/>
        <n v="1.8"/>
        <n v="1.875"/>
        <n v="2.314814814814815"/>
        <n v="1.8867924528301887"/>
        <n v="1.3888888888888888"/>
        <n v="0.9146341463414634"/>
        <n v="2.0833333333333335"/>
        <n v="1.1538461538461537"/>
        <n v="1.36986301369863"/>
        <n v="0.3076923076923077"/>
        <n v="1.4150943396226414"/>
        <n v="0.9433962264150944"/>
        <n v="0.684931506849315"/>
        <n v="1.075268817204301"/>
        <n v="1.7543859649122806"/>
        <n v="1.0416666666666667"/>
        <n v="1.1029411764705883"/>
        <n v="1.8072289156626506"/>
        <n v="1.7123287671232876"/>
        <n v="0.704225352112676"/>
        <n v="1.5267175572519085"/>
        <n v="1.5384615384615385"/>
        <n v="1.056338028169014"/>
      </sharedItems>
    </cacheField>
    <cacheField name="S+H" numFmtId="3">
      <sharedItems containsSemiMixedTypes="0" containsString="0" containsNumber="1" containsInteger="1">
        <n v="1003.0"/>
        <n v="1908.0"/>
        <n v="2500.0"/>
        <n v="750.0"/>
        <n v="752.0"/>
        <n v="802.0"/>
        <n v="551.0"/>
        <n v="300.0"/>
        <n v="303.0"/>
        <n v="402.0"/>
        <n v="606.0"/>
        <n v="875.0"/>
        <n v="742.0"/>
        <n v="855.0"/>
        <n v="854.0"/>
        <n v="603.0"/>
        <n v="602.0"/>
        <n v="908.0"/>
        <n v="1250.0"/>
        <n v="634.0"/>
        <n v="630.0"/>
        <n v="1054.0"/>
        <n v="1400.0"/>
        <n v="1055.0"/>
        <n v="1380.0"/>
        <n v="225.0"/>
        <n v="1007.0"/>
        <n v="1390.0"/>
        <n v="652.0"/>
        <n v="653.0"/>
        <n v="452.0"/>
        <n v="1104.0"/>
        <n v="853.0"/>
        <n v="808.0"/>
        <n v="445.0"/>
        <n v="906.0"/>
        <n v="576.0"/>
        <n v="2068.0"/>
        <n v="1268.0"/>
        <n v="1047.0"/>
        <n v="698.0"/>
        <n v="1800.0"/>
        <n v="848.0"/>
        <n v="2005.0"/>
        <n v="2600.0"/>
        <n v="805.0"/>
        <n v="727.0"/>
        <n v="1212.0"/>
        <n v="1227.0"/>
        <n v="1113.0"/>
        <n v="1500.0"/>
        <n v="6600.0"/>
        <n v="4000.0"/>
        <n v="7000.0"/>
        <n v="3000.0"/>
        <n v="10000.0"/>
        <n v="6000.0"/>
        <n v="4200.0"/>
        <n v="501.0"/>
        <n v="521.0"/>
        <n v="280.0"/>
        <n v="311.0"/>
        <n v="140.0"/>
        <n v="1028.0"/>
        <n v="301.0"/>
        <n v="8000.0"/>
        <n v="13000.0"/>
        <n v="9000.0"/>
        <n v="16947.0"/>
        <n v="18000.0"/>
        <n v="11000.0"/>
        <n v="2000.0"/>
        <n v="12000.0"/>
        <n v="5000.0"/>
        <n v="15000.0"/>
        <n v="21000.0"/>
        <n v="4925.0"/>
        <n v="3913.0"/>
        <n v="4846.0"/>
        <n v="16.0"/>
        <n v="12.0"/>
        <n v="11.0"/>
        <n v="10.0"/>
        <n v="9.0"/>
        <n v="15.0"/>
        <n v="13.0"/>
        <n v="17.0"/>
        <n v="8.0"/>
        <n v="7.0"/>
        <n v="14.0"/>
        <n v="69.0"/>
        <n v="53.0"/>
        <n v="24.0"/>
        <n v="29.0"/>
        <n v="35.0"/>
        <n v="68.0"/>
        <n v="30.0"/>
        <n v="34.0"/>
        <n v="39.0"/>
        <n v="64.0"/>
        <n v="46.0"/>
        <n v="45.0"/>
        <n v="60.0"/>
        <n v="40.0"/>
        <n v="29000.0"/>
        <n v="19000.0"/>
        <n v="28000.0"/>
        <n v="14000.0"/>
        <n v="40000.0"/>
        <n v="60000.0"/>
        <n v="64000.0"/>
        <n v="32000.0"/>
        <n v="17000.0"/>
        <n v="51000.0"/>
        <n v="38000.0"/>
        <n v="36000.0"/>
        <n v="25000.0"/>
        <n v="24000.0"/>
        <n v="23000.0"/>
        <n v="20000.0"/>
        <n v="47000.0"/>
        <n v="26000.0"/>
        <n v="49000.0"/>
        <n v="59000.0"/>
        <n v="39000.0"/>
        <n v="50000.0"/>
        <n v="43000.0"/>
        <n v="16000.0"/>
        <n v="31000.0"/>
        <n v="82000.0"/>
        <n v="42000.0"/>
        <n v="56000.0"/>
        <n v="451.0"/>
        <n v="1361.0"/>
        <n v="705.0"/>
        <n v="654.0"/>
        <n v="612.0"/>
        <n v="707.0"/>
        <n v="809.0"/>
        <n v="904.0"/>
        <n v="1285.0"/>
        <n v="1108.0"/>
        <n v="1450.0"/>
        <n v="1590.0"/>
        <n v="1161.0"/>
        <n v="744.0"/>
        <n v="1000.0"/>
        <n v="905.0"/>
        <n v="1006.0"/>
        <n v="1413.0"/>
        <n v="1508.0"/>
        <n v="2108.0"/>
        <n v="1561.0"/>
        <n v="1009.0"/>
        <n v="1107.0"/>
        <n v="532.0"/>
        <n v="1560.0"/>
        <n v="1352.0"/>
        <n v="1392.0"/>
        <n v="1307.0"/>
        <n v="1562.0"/>
        <n v="2012.0"/>
        <n v="706.0"/>
        <n v="1106.0"/>
        <n v="1962.0"/>
        <n v="708.0"/>
        <n v="880.0"/>
        <n v="1960.0"/>
        <n v="230.0"/>
        <n v="148.0"/>
        <n v="178.0"/>
        <n v="350.0"/>
        <n v="115.0"/>
        <n v="179.0"/>
        <n v="153.0"/>
        <n v="172.0"/>
        <n v="157.0"/>
        <n v="185.0"/>
        <n v="173.0"/>
        <n v="170.0"/>
        <n v="175.0"/>
        <n v="128.0"/>
        <n v="103.0"/>
        <n v="123.0"/>
        <n v="193.0"/>
        <n v="145.0"/>
        <n v="135.0"/>
        <n v="200.0"/>
        <n v="90.0"/>
        <n v="147.0"/>
        <n v="160.0"/>
        <n v="125.0"/>
        <n v="143.0"/>
        <n v="233.0"/>
        <n v="198.0"/>
        <n v="121.0"/>
        <n v="331.0"/>
        <n v="330.0"/>
        <n v="146.0"/>
        <n v="250.0"/>
      </sharedItems>
    </cacheField>
    <cacheField name="S/Cryst" numFmtId="4">
      <sharedItems containsSemiMixedTypes="0" containsString="0" containsNumber="1">
        <n v="22.857142857142858"/>
        <n v="20.512820512820515"/>
        <n v="35.55555555555556"/>
        <n v="28.985507246376812"/>
        <n v="30.0"/>
        <n v="26.08695652173913"/>
        <n v="33.333333333333336"/>
        <n v="21.05263157894737"/>
        <n v="26.666666666666668"/>
        <n v="13.333333333333334"/>
        <n v="6.896551724137931"/>
        <n v="10.0"/>
        <n v="11.538461538461538"/>
        <n v="12.931034482758621"/>
        <n v="7.894736842105263"/>
        <n v="20.0"/>
        <n v="25.0"/>
        <n v="23.076923076923077"/>
        <n v="15.384615384615385"/>
        <n v="18.181818181818183"/>
        <n v="16.216216216216218"/>
        <n v="14.035087719298245"/>
        <n v="7.142857142857143"/>
        <n v="3.289473684210526"/>
        <n v="6.578947368421052"/>
        <n v="3.2051282051282053"/>
        <n v="22.22222222222222"/>
        <n v="25.806451612903224"/>
        <n v="20.833333333333332"/>
        <n v="8.333333333333334"/>
        <n v="6.25"/>
        <n v="7.6923076923076925"/>
        <n v="9.090909090909092"/>
        <n v="8.0"/>
        <n v="6.756756756756757"/>
        <n v="9.75609756097561"/>
        <n v="12.121212121212121"/>
        <n v="13.043478260869565"/>
        <n v="6.3559322033898304"/>
        <n v="8.695652173913043"/>
        <n v="7.766990291262136"/>
        <n v="12.5"/>
        <n v="6.530612244897959"/>
        <n v="5.128205128205129"/>
        <n v="4.123711340206185"/>
        <n v="4.109589041095891"/>
        <n v="1.5625"/>
        <n v="6.315789473684211"/>
        <n v="2.4691358024691357"/>
        <n v="1.9704433497536946"/>
        <n v="9.248554913294798"/>
        <n v="7.380073800738008"/>
        <n v="3.007518796992481"/>
        <n v="4.054054054054054"/>
        <n v="3.260869565217391"/>
        <n v="5.194805194805195"/>
        <n v="5.47945205479452"/>
        <n v="4.395604395604396"/>
        <n v="2.955665024630542"/>
        <n v="2.6936026936026938"/>
        <n v="4.071246819338422"/>
        <n v="4.149377593360996"/>
        <n v="4.065040650406504"/>
        <n v="3.795066413662239"/>
        <n v="4.437869822485207"/>
        <n v="2.358490566037736"/>
        <n v="13.015184381778742"/>
        <n v="3.0721966205837172"/>
        <n v="3.091190108191654"/>
        <n v="3.1073446327683616"/>
        <n v="3.9215686274509802"/>
        <n v="3.389830508474576"/>
        <n v="2.4096385542168677"/>
        <n v="3.6363636363636362"/>
        <n v="2.898550724637681"/>
        <n v="2.5316455696202533"/>
        <n v="1.8181818181818181"/>
        <n v="1.6666666666666667"/>
        <n v="1.3157894736842106"/>
        <n v="4.18848167539267"/>
        <n v="2.150537634408602"/>
        <n v="3.9100684261974585"/>
        <n v="5.863192182410423"/>
        <n v="4.439511653718091"/>
        <n v="5.5813953488372094"/>
        <n v="3.0102347983142685"/>
        <n v="5.470459518599562"/>
        <n v="12.432012432012431"/>
        <n v="9.223674096848578"/>
        <n v="27.11864406779661"/>
        <n v="1.7094017094017093"/>
        <n v="4.918032786885246"/>
        <n v="5.037783375314861"/>
        <n v="5.780346820809249"/>
        <n v="6.451612903225806"/>
        <n v="6.993006993006993"/>
        <n v="4.499437570303712"/>
        <n v="7.393715341959335"/>
        <n v="5.9880239520958085"/>
        <n v="6.7114093959731544"/>
        <n v="6.329113924050633"/>
        <n v="5.059021922428331"/>
        <n v="2.9154518950437316"/>
        <n v="28.90173410404624"/>
        <n v="2.828854314002829"/>
        <n v="8.428657435279952"/>
        <n v="6.734006734006734"/>
        <n v="6.2745098039215685"/>
        <n v="3.690036900369004"/>
        <n v="4.1208791208791204"/>
        <n v="7.326007326007326"/>
        <n v="5.28169014084507"/>
        <n v="5.6417489421720735"/>
        <n v="1.834862385321101"/>
        <n v="5.86080586080586"/>
        <n v="7.910349373764008"/>
        <n v="5.3120849933598935"/>
        <n v="2.6455026455026456"/>
        <n v="4.219409282700422"/>
        <n v="6.242197253433209"/>
        <n v="6.420545746388443"/>
        <n v="4.790419161676646"/>
        <n v="4.962779156327543"/>
        <n v="6.230529595015576"/>
        <n v="5.167958656330749"/>
        <n v="6.655574043261232"/>
        <n v="2.5"/>
        <n v="0.8333333333333334"/>
        <n v="0.5"/>
        <n v="0.7142857142857143"/>
        <n v="1.0"/>
        <n v="0.6666666666666666"/>
        <n v="0.5714285714285714"/>
        <n v="0.8571428571428571"/>
        <n v="0.47058823529411764"/>
        <n v="0.23076923076923078"/>
        <n v="0.4"/>
        <n v="0.3333333333333333"/>
        <n v="0.2857142857142857"/>
        <n v="0.375"/>
        <n v="0.36363636363636365"/>
        <n v="0.26666666666666666"/>
        <n v="4.285714285714286"/>
        <n v="0.45454545454545453"/>
        <n v="0.625"/>
        <n v="1.25"/>
        <n v="1.4285714285714286"/>
        <n v="1.1538461538461537"/>
        <n v="1.1428571428571428"/>
        <n v="1.5"/>
        <n v="2.0833333333333335"/>
        <n v="1.5384615384615385"/>
        <n v="0.9375"/>
        <n v="5.0"/>
        <n v="0.9090909090909091"/>
        <n v="0.7692307692307693"/>
        <n v="1.0526315789473684"/>
        <n v="1.0714285714285714"/>
        <n v="0.7894736842105263"/>
        <n v="1.3636363636363635"/>
        <n v="4.475703324808184"/>
        <n v="4.380201489268506"/>
        <n v="4.80439258750858"/>
        <n v="5.144694533762058"/>
        <n v="5.532503457814661"/>
        <n v="4.74158368895211"/>
        <n v="3.3377837116154874"/>
        <n v="4.528301886792453"/>
        <n v="13.582342954159593"/>
        <n v="5.584512285927029"/>
        <n v="5.502063273727648"/>
        <n v="3.7071362372567194"/>
        <n v="4.122011541632316"/>
        <n v="2.7013337835556306"/>
        <n v="2.277904328018223"/>
        <n v="4.004004004004004"/>
        <n v="3.7418147801683816"/>
        <n v="4.290694556181282"/>
        <n v="4.675081813931744"/>
        <n v="4.329004329004329"/>
        <n v="4.672897196261682"/>
        <n v="5.568814638027049"/>
        <n v="4.133451431945675"/>
        <n v="5.77319587628866"/>
        <n v="4.975124378109452"/>
        <n v="5.597760895641743"/>
        <n v="5.2273915316257185"/>
        <n v="4.880429477794046"/>
        <n v="6.148440931049627"/>
        <n v="5.628517823639775"/>
        <n v="4.651162790697675"/>
        <n v="4.939209726443769"/>
        <n v="4.382120946538125"/>
        <n v="3.121748178980229"/>
        <n v="4.623208506703652"/>
        <n v="4.930156121610517"/>
        <n v="4.244782454899187"/>
        <n v="19.90049751243781"/>
        <n v="4.4609665427509295"/>
        <n v="4.780114722753346"/>
        <n v="4.06393931183961"/>
        <n v="4.270082732852949"/>
        <n v="17.699115044247787"/>
        <n v="4.177234074295092"/>
        <n v="5.4955839057899905"/>
        <n v="17.91044776119403"/>
        <n v="5.9171597633136095"/>
        <n v="37.2093023255814"/>
        <n v="10.204081632653061"/>
        <n v="6.031363088057901"/>
        <n v="5.514705882352941"/>
        <n v="10.989010989010989"/>
        <n v="8.356545961002785"/>
        <n v="5.350454788657036"/>
        <n v="8.275862068965518"/>
        <n v="9.153318077803204"/>
        <n v="8.018327605956472"/>
        <n v="9.813542688910697"/>
        <n v="11.090573012939002"/>
        <n v="5.542168674698795"/>
        <n v="4.694835680751174"/>
        <n v="4.12796697626419"/>
        <n v="8.561643835616438"/>
        <n v="10.08827238335435"/>
        <n v="9.587727708533079"/>
        <n v="7.3461891643709825"/>
        <n v="6.122448979591836"/>
        <n v="9.501187648456057"/>
        <n v="9.523809523809524"/>
        <n v="1.050420168067227"/>
        <n v="3.003003003003003"/>
        <n v="1.6"/>
        <n v="1.694915254237288"/>
        <n v="0.7911392405063291"/>
        <n v="1.9047619047619047"/>
        <n v="1.5810276679841897"/>
        <n v="1.509433962264151"/>
        <n v="2.272727272727273"/>
        <n v="2.0408163265306123"/>
        <n v="2.7303754266211606"/>
        <n v="2.6737967914438503"/>
        <n v="2.973977695167286"/>
        <n v="3.067484662576687"/>
        <n v="2.5157232704402515"/>
        <n v="2.4154589371980677"/>
        <n v="1.365546218487395"/>
        <n v="1.4760147601476015"/>
        <n v="2.830188679245283"/>
        <n v="2.575107296137339"/>
        <n v="2.6666666666666665"/>
        <n v="3.2432432432432434"/>
        <n v="4.265402843601896"/>
        <n v="3.488372093023256"/>
        <n v="3.236245954692557"/>
        <n v="3.686635944700461"/>
        <n v="3.592814371257485"/>
        <n v="3.076923076923077"/>
        <n v="2.197802197802198"/>
        <n v="2.0905923344947737"/>
        <n v="2.9197080291970803"/>
        <n v="1.16580310880829"/>
        <n v="1.4331210191082802"/>
        <n v="1.0368663594470047"/>
        <n v="0.9216589861751152"/>
        <n v="0.7575757575757576"/>
        <n v="0.8130081300813008"/>
        <n v="4.780876494023905"/>
        <n v="1.6474464579901154"/>
        <n v="4.301075268817204"/>
        <n v="2.977667493796526"/>
        <n v="9.937888198757763"/>
        <n v="2.1201413427561837"/>
        <n v="1.486988847583643"/>
        <n v="1.2232415902140672"/>
        <n v="2.3054755043227666"/>
        <n v="3.3542976939203353"/>
        <n v="1.3937282229965158"/>
        <n v="1.1396011396011396"/>
        <n v="1.6528925619834711"/>
        <n v="3.56347438752784"/>
        <n v="1.4705882352941178"/>
        <n v="2.7649769585253456"/>
        <n v="2.142857142857143"/>
        <n v="2.9220779220779223"/>
        <n v="4.0"/>
        <n v="3.409090909090909"/>
        <n v="4.166666666666667"/>
        <n v="3.4482758620689653"/>
        <n v="3.7037037037037037"/>
        <n v="3.3333333333333335"/>
        <n v="1.829268292682927"/>
        <n v="2.9069767441860463"/>
        <n v="3.0303030303030303"/>
        <n v="2.3255813953488373"/>
        <n v="2.6315789473684212"/>
        <n v="3.8461538461538463"/>
        <n v="1.9230769230769231"/>
        <n v="2.9411764705882355"/>
        <n v="1.8518518518518519"/>
        <n v="1.744186046511628"/>
        <n v="2.8846153846153846"/>
        <n v="2.7777777777777777"/>
        <n v="2.34375"/>
        <n v="2.857142857142857"/>
        <n v="2.2222222222222223"/>
        <n v="2.380952380952381"/>
        <n v="2.4193548387096775"/>
        <n v="3.225806451612903"/>
        <n v="2.1739130434782608"/>
        <n v="2.985074626865672"/>
        <n v="3.5714285714285716"/>
        <n v="2.4390243902439024"/>
        <n v="3.0"/>
      </sharedItems>
    </cacheField>
    <cacheField name="H/Cryst" numFmtId="4">
      <sharedItems containsSemiMixedTypes="0" containsString="0" containsNumber="1">
        <n v="5.8"/>
        <n v="5.205128205128205"/>
        <n v="6.844444444444444"/>
        <n v="7.246376811594203"/>
        <n v="7.5"/>
        <n v="6.608695652173913"/>
        <n v="11.222222222222221"/>
        <n v="7.947368421052632"/>
        <n v="10.066666666666666"/>
        <n v="6.666666666666667"/>
        <n v="3.5517241379310347"/>
        <n v="10.1"/>
        <n v="11.76923076923077"/>
        <n v="17.24137931034483"/>
        <n v="1.868421052631579"/>
        <n v="8.5"/>
        <n v="9.4375"/>
        <n v="9.76923076923077"/>
        <n v="7.8076923076923075"/>
        <n v="9.181818181818182"/>
        <n v="8.324324324324325"/>
        <n v="7.894736842105263"/>
        <n v="10.971428571428572"/>
        <n v="5.052631578947368"/>
        <n v="10.0"/>
        <n v="4.871794871794871"/>
        <n v="8.466666666666667"/>
        <n v="8.88888888888889"/>
        <n v="8.225806451612904"/>
        <n v="7.916666666666667"/>
        <n v="5.0"/>
        <n v="16.666666666666668"/>
        <n v="7.6923076923076925"/>
        <n v="5.652777777777778"/>
        <n v="5.673076923076923"/>
        <n v="5.7272727272727275"/>
        <n v="5.06"/>
        <n v="5.45945945945946"/>
        <n v="3.707317073170732"/>
        <n v="4.606060606060606"/>
        <n v="5.5"/>
        <n v="13.368421052631579"/>
        <n v="1.1864406779661016"/>
        <n v="4.434782608695652"/>
        <n v="4.368932038834951"/>
        <n v="19.0"/>
        <n v="3.526315789473684"/>
        <n v="1.910204081632653"/>
        <n v="3.0"/>
        <n v="2.4123711340206184"/>
        <n v="3.0616438356164384"/>
        <n v="2.8"/>
        <n v="3.1578947368421053"/>
        <n v="2.765432098765432"/>
        <n v="2.206896551724138"/>
        <n v="2.341040462427746"/>
        <n v="2.2140221402214024"/>
        <n v="3.045112781954887"/>
        <n v="5.77027027027027"/>
        <n v="4.641304347826087"/>
        <n v="2.675324675324675"/>
        <n v="2.9246575342465753"/>
        <n v="2.3461538461538463"/>
        <n v="2.5270935960591134"/>
        <n v="2.356902356902357"/>
        <n v="12.72264631043257"/>
        <n v="4.149377593360996"/>
        <n v="4.065040650406504"/>
        <n v="3.795066413662239"/>
        <n v="5.9171597633136095"/>
        <n v="4.716981132075472"/>
        <n v="8.676789587852495"/>
        <n v="6.1443932411674345"/>
        <n v="3.091190108191654"/>
        <n v="2.824858757062147"/>
        <n v="1.3116883116883118"/>
        <n v="0.9901960784313726"/>
        <n v="1.0254237288135593"/>
        <n v="0.7289156626506024"/>
        <n v="1.4545454545454546"/>
        <n v="1.1594202898550725"/>
        <n v="1.4050632911392404"/>
        <n v="1.009090909090909"/>
        <n v="2.3684210526315788"/>
        <n v="1.193717277486911"/>
        <n v="1.463768115942029"/>
        <n v="1.086021505376344"/>
        <n v="3.9100684261974585"/>
        <n v="2.6058631921824102"/>
        <n v="2.2197558268590454"/>
        <n v="2.7906976744186047"/>
        <n v="2.408187838651415"/>
        <n v="4.3763676148796495"/>
        <n v="0.7358197358197358"/>
        <n v="4.611837048424289"/>
        <n v="10.169491525423728"/>
        <n v="1.7094017094017093"/>
        <n v="3.278688524590164"/>
        <n v="0.8396305625524769"/>
        <n v="3.8535645472061657"/>
        <n v="2.867383512544803"/>
        <n v="3.4965034965034967"/>
        <n v="2.249718785151856"/>
        <n v="3.6968576709796674"/>
        <n v="2.9940119760479043"/>
        <n v="2.237136465324385"/>
        <n v="4.219409282700422"/>
        <n v="3.372681281618887"/>
        <n v="1.4577259475218658"/>
        <n v="14.45086705202312"/>
        <n v="2.828854314002829"/>
        <n v="4.214328717639976"/>
        <n v="3.367003367003367"/>
        <n v="3.1372549019607843"/>
        <n v="0.8533210332103321"/>
        <n v="1.254120879120879"/>
        <n v="3.663003663003663"/>
        <n v="3.5211267605633805"/>
        <n v="1.1932299012693934"/>
        <n v="0.45871559633027525"/>
        <n v="1.465201465201465"/>
        <n v="3.955174686882004"/>
        <n v="2.6560424966799467"/>
        <n v="5.291005291005291"/>
        <n v="2.8129395218002813"/>
        <n v="2.4968789013732833"/>
        <n v="4.012841091492777"/>
        <n v="3.592814371257485"/>
        <n v="4.962779156327543"/>
        <n v="4.153686396677051"/>
        <n v="2.5839793281653747"/>
        <n v="1.663893510815308"/>
        <n v="1.1666666666666667"/>
        <n v="0.7"/>
        <n v="1.0"/>
        <n v="0.8571428571428571"/>
        <n v="3.5"/>
        <n v="2.3333333333333335"/>
        <n v="1.5"/>
        <n v="1.2857142857142858"/>
        <n v="0.5294117647058824"/>
        <n v="0.46153846153846156"/>
        <n v="1.2"/>
        <n v="0.4375"/>
        <n v="0.6363636363636364"/>
        <n v="0.4666666666666667"/>
        <n v="5.571428571428571"/>
        <n v="1.75"/>
        <n v="1.4285714285714286"/>
        <n v="0.9090909090909091"/>
        <n v="1.25"/>
        <n v="2.0"/>
        <n v="1.5384615384615385"/>
        <n v="1.8666666666666667"/>
        <n v="0.8"/>
        <n v="1.4"/>
        <n v="2.857142857142857"/>
        <n v="1.6666666666666667"/>
        <n v="1.0769230769230769"/>
        <n v="0.875"/>
        <n v="5.6"/>
        <n v="7.8"/>
        <n v="1.8181818181818181"/>
        <n v="1.3333333333333333"/>
        <n v="2.3636363636363638"/>
        <n v="0.7368421052631579"/>
        <n v="0.7692307692307693"/>
        <n v="0.7777777777777778"/>
        <n v="1.7727272727272727"/>
        <n v="4.79539641943734"/>
        <n v="3.942181340341656"/>
        <n v="4.80439258750858"/>
        <n v="3.8585209003215435"/>
        <n v="3.4578146611341634"/>
        <n v="4.267425320056899"/>
        <n v="6.675567423230975"/>
        <n v="5.534591194968553"/>
        <n v="8.488964346349745"/>
        <n v="5.584512285927029"/>
        <n v="3.43878954607978"/>
        <n v="3.7071362372567194"/>
        <n v="3.709810387469085"/>
        <n v="2.7013337835556306"/>
        <n v="2.562642369020501"/>
        <n v="3.289003289003289"/>
        <n v="5.144995322731525"/>
        <n v="5.363368195226602"/>
        <n v="4.207573632538569"/>
        <n v="2.435064935064935"/>
        <n v="3.5046728971962615"/>
        <n v="3.977724741447892"/>
        <n v="2.952465308532625"/>
        <n v="3.711340206185567"/>
        <n v="3.5536602700781805"/>
        <n v="3.9984006397441023"/>
        <n v="3.6591740721380033"/>
        <n v="3.416300634455832"/>
        <n v="3.0742204655248133"/>
        <n v="3.75234521575985"/>
        <n v="3.6175710594315245"/>
        <n v="3.9893617021276597"/>
        <n v="9.640666082383873"/>
        <n v="7.2840790842872005"/>
        <n v="4.160887656033287"/>
        <n v="5.751848808545604"/>
        <n v="2.1223912274495933"/>
        <n v="20.729684908789388"/>
        <n v="5.204460966542751"/>
        <n v="4.3021032504780115"/>
        <n v="3.928474668111623"/>
        <n v="2.401921537229784"/>
        <n v="16.8141592920354"/>
        <n v="3.2821124869461435"/>
        <n v="2.944062806673209"/>
        <n v="29.850746268656717"/>
        <n v="9.861932938856016"/>
        <n v="13.953488372093023"/>
        <n v="9.183673469387756"/>
        <n v="10.856453558504223"/>
        <n v="12.867647058823529"/>
        <n v="6.593406593406593"/>
        <n v="9.052924791086351"/>
        <n v="4.815409309791332"/>
        <n v="5.977011494252873"/>
        <n v="4.576659038901602"/>
        <n v="2.290950744558992"/>
        <n v="6.869479882237488"/>
        <n v="7.393715341959335"/>
        <n v="4.337349397590361"/>
        <n v="28.169014084507044"/>
        <n v="24.76780185758514"/>
        <n v="8.561643835616438"/>
        <n v="7.566204287515763"/>
        <n v="8.62895493767977"/>
        <n v="11.937557392102846"/>
        <n v="7.142857142857143"/>
        <n v="5.344418052256532"/>
        <n v="0.8445378151260504"/>
        <n v="1.0840840840840842"/>
        <n v="1.22"/>
        <n v="1.076271186440678"/>
        <n v="1.1455696202531647"/>
        <n v="1.4619047619047618"/>
        <n v="1.616600790513834"/>
        <n v="1.1584905660377358"/>
        <n v="1.1515151515151516"/>
        <n v="1.2372448979591837"/>
        <n v="1.0511945392491469"/>
        <n v="1.2032085561497325"/>
        <n v="1.5315985130111525"/>
        <n v="1.8098159509202454"/>
        <n v="1.1352201257861636"/>
        <n v="1.2077294685990339"/>
        <n v="1.7605042016806722"/>
        <n v="1.4386792452830188"/>
        <n v="1.742489270386266"/>
        <n v="1.2551440329218106"/>
        <n v="1.1013333333333333"/>
        <n v="0.8324324324324325"/>
        <n v="0.7298578199052133"/>
        <n v="0.5968992248062015"/>
        <n v="1.168284789644013"/>
        <n v="1.4193548387096775"/>
        <n v="1.037037037037037"/>
        <n v="1.0808383233532934"/>
        <n v="1.5794871794871794"/>
        <n v="1.4981684981684982"/>
        <n v="1.0731707317073171"/>
        <n v="1.1204379562043796"/>
        <n v="1.5906735751295338"/>
        <n v="1.9554140127388535"/>
        <n v="2.0974358974358975"/>
        <n v="1.4147465437788018"/>
        <n v="0.7073732718894009"/>
        <n v="0.5814393939393939"/>
        <n v="0.8292682926829268"/>
        <n v="1.4342629482071714"/>
        <n v="2.3624161073825505"/>
        <n v="1.8317757009345794"/>
        <n v="0.5057660626029654"/>
        <n v="1.2974910394265233"/>
        <n v="0.8982630272952854"/>
        <n v="2.559006211180124"/>
        <n v="1.088339222614841"/>
        <n v="1.137546468401487"/>
        <n v="0.9357798165137615"/>
        <n v="0.8818443804034583"/>
        <n v="0.7589098532494759"/>
        <n v="1.1590909090909092"/>
        <n v="0.8774928774928775"/>
        <n v="1.2603305785123966"/>
        <n v="0.6859688195991092"/>
        <n v="0.14705882352941177"/>
        <n v="0.8017817371937639"/>
        <n v="1.1705069124423964"/>
        <n v="10.833333333333334"/>
        <n v="2.085714285714286"/>
        <n v="1.358974358974359"/>
        <n v="1.6233766233766234"/>
        <n v="1.6"/>
        <n v="1.8"/>
        <n v="1.3793103448275863"/>
        <n v="1.962962962962963"/>
        <n v="2.4"/>
        <n v="2.2777777777777777"/>
        <n v="1.7804878048780488"/>
        <n v="2.3255813953488373"/>
        <n v="1.1320754716981132"/>
        <n v="1.5151515151515151"/>
        <n v="2.6315789473684212"/>
        <n v="2.9545454545454546"/>
        <n v="1.697674418604651"/>
        <n v="4.761904761904762"/>
        <n v="3.8461538461538463"/>
        <n v="1.894736842105263"/>
        <n v="2.8846153846153846"/>
        <n v="1.5142857142857142"/>
        <n v="2.2083333333333335"/>
        <n v="2.433333333333333"/>
        <n v="2.8076923076923075"/>
        <n v="2.735294117647059"/>
        <n v="2.7037037037037037"/>
        <n v="1.5833333333333333"/>
        <n v="1.606060606060606"/>
        <n v="1.875"/>
        <n v="1.6363636363636365"/>
        <n v="2.057142857142857"/>
        <n v="2.2222222222222223"/>
        <n v="2.789473684210526"/>
        <n v="1.9047619047619047"/>
        <n v="2.3225806451612905"/>
        <n v="1.935483870967742"/>
        <n v="2.5185185185185186"/>
        <n v="2.3055555555555554"/>
        <n v="1.565217391304348"/>
        <n v="1.7666666666666666"/>
        <n v="3.380952380952381"/>
        <n v="1.955223880597015"/>
        <n v="3.4285714285714284"/>
        <n v="2.4074074074074074"/>
        <n v="2.2058823529411766"/>
        <n v="1.2903225806451613"/>
        <n v="1.4634146341463414"/>
        <n v="2.84"/>
        <n v="1.8518518518518519"/>
      </sharedItems>
    </cacheField>
    <cacheField name="DPS/Cryst" numFmtId="4">
      <sharedItems containsSemiMixedTypes="0" containsString="0" containsNumber="1">
        <n v="0.11428571428571428"/>
        <n v="0.10256410256410256"/>
        <n v="0.3111111111111111"/>
        <n v="0.2028985507246377"/>
        <n v="0.05"/>
        <n v="0.13043478260869565"/>
        <n v="0.05555555555555555"/>
        <n v="0.05263157894736842"/>
        <n v="0.06666666666666667"/>
        <n v="0.0"/>
        <n v="0.19230769230769232"/>
        <n v="0.1724137931034483"/>
        <n v="0.11842105263157894"/>
        <n v="0.16666666666666666"/>
        <n v="0.0625"/>
        <n v="0.07692307692307693"/>
        <n v="0.22727272727272727"/>
        <n v="0.13513513513513514"/>
        <n v="0.08771929824561403"/>
        <n v="0.05714285714285714"/>
        <n v="0.02631578947368421"/>
        <n v="0.3684210526315789"/>
        <n v="0.11538461538461539"/>
        <n v="0.1111111111111111"/>
        <n v="0.16129032258064516"/>
        <n v="0.10416666666666667"/>
        <n v="0.013888888888888888"/>
        <n v="0.009615384615384616"/>
        <n v="0.010363636363636365"/>
        <n v="0.00986"/>
        <n v="0.05405405405405406"/>
        <n v="0.17073170731707318"/>
        <n v="0.21212121212121213"/>
        <n v="0.10526315789473684"/>
        <n v="0.06779661016949153"/>
        <n v="0.07246376811594203"/>
        <n v="0.04854368932038835"/>
        <n v="0.35"/>
        <n v="0.017543859649122806"/>
        <n v="0.02465"/>
        <n v="0.04081632653061224"/>
        <n v="0.0641025641025641"/>
        <n v="0.05154639175257732"/>
        <n v="0.0684931506849315"/>
        <n v="0.042105263157894736"/>
        <n v="0.030864197530864196"/>
        <n v="0.024630541871921183"/>
        <n v="0.09248554913294797"/>
        <n v="0.05904059040590406"/>
        <n v="0.08270676691729323"/>
        <n v="0.08108108108108109"/>
        <n v="0.06521739130434782"/>
        <n v="0.13636363636363635"/>
        <n v="0.03424657534246575"/>
        <n v="0.027472527472527472"/>
        <n v="0.08374384236453201"/>
        <n v="0.05723905723905724"/>
        <n v="0.015267175572519083"/>
        <n v="0.012448132780082987"/>
        <n v="0.014227642276422764"/>
        <n v="0.011385199240986717"/>
        <n v="0.011834319526627219"/>
        <n v="0.14099783080260303"/>
        <n v="0.010752688172043012"/>
        <n v="0.013910355486862442"/>
        <n v="0.08192090395480225"/>
        <n v="0.025974025974025976"/>
        <n v="0.0196078431372549"/>
        <n v="0.01694915254237288"/>
        <n v="0.012048192771084338"/>
        <n v="0.014036363636363637"/>
        <n v="0.01118840579710145"/>
        <n v="0.012658227848101266"/>
        <n v="0.00909090909090909"/>
        <n v="0.025500000000000002"/>
        <n v="0.02013157894736842"/>
        <n v="0.05235602094240838"/>
        <n v="0.014492753623188406"/>
        <n v="0.09579667644183773"/>
        <n v="0.06710097719869706"/>
        <n v="0.07436182019977802"/>
        <n v="0.05674418604651163"/>
        <n v="0.04515352197471403"/>
        <n v="0.060175054704595186"/>
        <n v="0.024864024864024864"/>
        <n v="0.0568793235972329"/>
        <n v="0.5423728813559322"/>
        <n v="0.10427350427350428"/>
        <n v="0.05901639344262295"/>
        <n v="0.09403862300587741"/>
        <n v="0.06454720616570328"/>
        <n v="0.08028673835125448"/>
        <n v="0.06468531468531469"/>
        <n v="0.08323959505061868"/>
        <n v="0.10536044362292052"/>
        <n v="0.09880239520958084"/>
        <n v="0.15883668903803133"/>
        <n v="0.1308016877637131"/>
        <n v="0.09949409780775717"/>
        <n v="0.043002915451895045"/>
        <n v="0.18786127167630057"/>
        <n v="0.09476661951909476"/>
        <n v="0.0403371462974112"/>
        <n v="0.046296296296296294"/>
        <n v="0.06274509803921569"/>
        <n v="0.06826568265682657"/>
        <n v="0.03983516483516483"/>
        <n v="0.05036630036630037"/>
        <n v="0.04841549295774648"/>
        <n v="0.056417489421720736"/>
        <n v="0.022018348623853212"/>
        <n v="0.07545787545787545"/>
        <n v="0.044166117336849046"/>
        <n v="0.0398406374501992"/>
        <n v="0.07275132275132275"/>
        <n v="0.052039381153305204"/>
        <n v="0.0149812734082397"/>
        <n v="0.00718562874251497"/>
        <n v="0.01488833746898263"/>
        <n v="0.03488372093023256"/>
        <n v="0.014975041597337771"/>
        <n v="2.0"/>
        <n v="0.1"/>
        <n v="0.14285714285714285"/>
        <n v="0.5"/>
        <n v="0.3333333333333333"/>
        <n v="0.5294117647058824"/>
        <n v="0.3076923076923077"/>
        <n v="0.2"/>
        <n v="0.125"/>
        <n v="0.18181818181818182"/>
        <n v="0.5714285714285714"/>
        <n v="0.4"/>
        <n v="0.7142857142857143"/>
        <n v="0.4375"/>
        <n v="0.36363636363636365"/>
        <n v="0.6666666666666666"/>
        <n v="0.625"/>
        <n v="0.38461538461538464"/>
        <n v="0.6"/>
        <n v="0.22857142857142856"/>
        <n v="0.75"/>
        <n v="0.6153846153846154"/>
        <n v="0.375"/>
        <n v="1.2"/>
        <n v="0.5454545454545454"/>
        <n v="0.46153846153846156"/>
        <n v="0.7272727272727273"/>
        <n v="0.21052631578947367"/>
        <n v="0.26666666666666666"/>
        <n v="0.15384615384615385"/>
        <n v="0.3888888888888889"/>
        <n v="0.3181818181818182"/>
        <n v="0.0610613810741688"/>
        <n v="0.07665352606219886"/>
        <n v="0.057309540150995195"/>
        <n v="0.0797427652733119"/>
        <n v="0.10995850622406639"/>
        <n v="0.11548731642189586"/>
        <n v="0.06767295597484277"/>
        <n v="0.12224108658743633"/>
        <n v="0.05342516753536858"/>
        <n v="0.12723521320495185"/>
        <n v="0.07553290083410566"/>
        <n v="0.0416323165704864"/>
        <n v="0.06415667735944623"/>
        <n v="0.12386104783599089"/>
        <n v="0.0622050622050622"/>
        <n v="0.10243217960710944"/>
        <n v="0.09037275408956826"/>
        <n v="0.07620383356708742"/>
        <n v="0.1176948051948052"/>
        <n v="0.06658878504672897"/>
        <n v="0.1730310262529833"/>
        <n v="0.10687924416888102"/>
        <n v="0.16412371134020617"/>
        <n v="0.13503909026297087"/>
        <n v="0.1519392243102759"/>
        <n v="0.14166231050705697"/>
        <n v="0.15031722791605662"/>
        <n v="0.10320597277119016"/>
        <n v="0.12711069418386492"/>
        <n v="0.11705426356589148"/>
        <n v="0.13772796352583586"/>
        <n v="0.07186678352322524"/>
        <n v="0.13267429760665972"/>
        <n v="0.06056403143781785"/>
        <n v="0.09490550534100246"/>
        <n v="0.08312698974177574"/>
        <n v="0.23383084577114427"/>
        <n v="0.07992565055762081"/>
        <n v="0.06835564053537285"/>
        <n v="0.08832294771064753"/>
        <n v="0.13530824659727783"/>
        <n v="0.2575221238938053"/>
        <n v="0.09189914963449201"/>
        <n v="0.11383709519136408"/>
        <n v="0.22388059701492538"/>
        <n v="0.11162790697674418"/>
        <n v="0.06224489795918367"/>
        <n v="0.0735826296743064"/>
        <n v="0.10202205882352941"/>
        <n v="0.1010989010989011"/>
        <n v="0.05988857938718663"/>
        <n v="0.1198501872659176"/>
        <n v="0.06850574712643678"/>
        <n v="0.09992372234935164"/>
        <n v="0.09106529209621993"/>
        <n v="0.1099116781157998"/>
        <n v="0.09519408502772643"/>
        <n v="0.08734939759036145"/>
        <n v="0.15571205007824726"/>
        <n v="0.130546955624355"/>
        <n v="0.1421232876712329"/>
        <n v="0.1235813366960908"/>
        <n v="0.05560882070949185"/>
        <n v="0.06795224977043159"/>
        <n v="0.07380952380952381"/>
        <n v="0.0997624703087886"/>
        <n v="0.07261904761904762"/>
        <n v="0.09243697478991597"/>
        <n v="0.0960960960960961"/>
        <n v="0.124"/>
        <n v="0.13135593220338984"/>
        <n v="0.189873417721519"/>
        <n v="0.09486166007905138"/>
        <n v="0.09056603773584905"/>
        <n v="0.12878787878787878"/>
        <n v="0.08673469387755102"/>
        <n v="0.10921501706484642"/>
        <n v="0.0855614973262032"/>
        <n v="0.06691449814126393"/>
        <n v="0.05521472392638037"/>
        <n v="0.07232704402515723"/>
        <n v="0.13025210084033614"/>
        <n v="0.11439114391143912"/>
        <n v="0.07547169811320754"/>
        <n v="0.06866952789699571"/>
        <n v="0.06584362139917696"/>
        <n v="0.07466666666666667"/>
        <n v="0.08648648648648649"/>
        <n v="0.09004739336492891"/>
        <n v="0.07364341085271318"/>
        <n v="0.08414239482200647"/>
        <n v="0.10138248847926268"/>
        <n v="0.07407407407407407"/>
        <n v="0.0748502994011976"/>
        <n v="0.08205128205128205"/>
        <n v="0.05860805860805861"/>
        <n v="0.05574912891986063"/>
        <n v="0.08759124087591241"/>
        <n v="0.12435233160621761"/>
        <n v="0.15286624203821655"/>
        <n v="0.12307692307692308"/>
        <n v="0.11059907834101383"/>
        <n v="0.041474654377880185"/>
        <n v="0.03409090909090909"/>
        <n v="0.036585365853658534"/>
        <n v="0.10358565737051793"/>
        <n v="0.12080536912751678"/>
        <n v="0.08411214953271028"/>
        <n v="0.08896210873146623"/>
        <n v="0.06093189964157706"/>
        <n v="0.04218362282878412"/>
        <n v="0.09937888198757763"/>
        <n v="0.1413427561837456"/>
        <n v="0.08178438661710037"/>
        <n v="0.0672782874617737"/>
        <n v="0.10951008645533142"/>
        <n v="0.06708595387840671"/>
        <n v="0.15151515151515152"/>
        <n v="0.16423357664233576"/>
        <n v="0.08362369337979095"/>
        <n v="0.06837606837606838"/>
        <n v="0.19834710743801653"/>
        <n v="0.07126948775055679"/>
        <n v="0.08463251670378619"/>
        <n v="0.17511520737327188"/>
        <n v="1.0"/>
        <n v="0.34285714285714286"/>
        <n v="0.1794871794871795"/>
        <n v="0.32"/>
        <n v="0.27586206896551724"/>
        <n v="0.2962962962962963"/>
        <n v="0.2926829268292683"/>
        <n v="0.27906976744186046"/>
        <n v="0.22641509433962265"/>
        <n v="0.23684210526315788"/>
        <n v="0.20454545454545456"/>
        <n v="0.32558139534883723"/>
        <n v="0.2857142857142857"/>
        <n v="0.23076923076923078"/>
        <n v="0.15789473684210525"/>
        <n v="0.23333333333333334"/>
        <n v="0.2692307692307692"/>
        <n v="0.20588235294117646"/>
        <n v="0.25925925925925924"/>
        <n v="0.3"/>
        <n v="0.34615384615384615"/>
        <n v="0.25"/>
        <n v="0.30303030303030304"/>
        <n v="0.28125"/>
        <n v="0.3157894736842105"/>
        <n v="0.25806451612903225"/>
        <n v="0.2777777777777778"/>
        <n v="0.15217391304347827"/>
        <n v="0.23255813953488372"/>
        <n v="0.13432835820895522"/>
        <n v="0.18518518518518517"/>
        <n v="0.14705882352941177"/>
        <n v="0.3870967741935484"/>
      </sharedItems>
    </cacheField>
    <cacheField name="S/Supply" numFmtId="4">
      <sharedItems containsSemiMixedTypes="0" containsString="0" containsNumber="1">
        <n v="133.33333333333334"/>
        <n v="114.28571428571429"/>
        <n v="200.0"/>
        <n v="153.84615384615384"/>
        <n v="150.0"/>
        <n v="66.66666666666667"/>
        <n v="40.0"/>
        <n v="60.0"/>
        <n v="75.0"/>
        <n v="120.0"/>
        <n v="100.0"/>
        <n v="85.71428571428571"/>
        <n v="72.72727272727273"/>
        <n v="41.666666666666664"/>
        <n v="17.857142857142858"/>
        <n v="35.714285714285715"/>
        <n v="160.0"/>
        <n v="125.0"/>
        <n v="111.11111111111111"/>
        <n v="46.15384615384615"/>
        <n v="50.0"/>
        <n v="44.44444444444444"/>
        <n v="53.333333333333336"/>
        <n v="42.857142857142854"/>
        <n v="34.09090909090909"/>
        <n v="83.33333333333333"/>
        <n v="37.5"/>
        <n v="35.55555555555556"/>
        <n v="27.586206896551722"/>
        <n v="21.62162162162162"/>
        <n v="23.076923076923077"/>
        <n v="8.620689655172415"/>
        <n v="34.285714285714285"/>
        <n v="13.793103448275861"/>
        <n v="11.11111111111111"/>
        <n v="16.666666666666668"/>
        <n v="17.647058823529413"/>
        <n v="28.571428571428573"/>
        <n v="30.76923076923077"/>
        <n v="24.242424242424242"/>
        <n v="16.216216216216218"/>
        <n v="14.814814814814815"/>
        <n v="22.22222222222222"/>
        <n v="21.978021978021978"/>
        <n v="22.727272727272727"/>
        <n v="20.833333333333332"/>
        <n v="24.193548387096776"/>
        <n v="12.987012987012987"/>
        <n v="71.42857142857143"/>
        <n v="16.80672268907563"/>
        <n v="16.949152542372882"/>
        <n v="22.68041237113402"/>
        <n v="36.36363636363637"/>
        <n v="26.666666666666668"/>
        <n v="16.0"/>
        <n v="25.0"/>
        <n v="20.0"/>
        <n v="18.181818181818183"/>
        <n v="12.5"/>
        <n v="8.333333333333334"/>
        <n v="22.857142857142858"/>
        <n v="14.285714285714286"/>
        <n v="20.72538860103627"/>
        <n v="32.02846975088968"/>
        <n v="30.456852791878173"/>
        <n v="21.92982456140351"/>
        <n v="29.940119760479043"/>
        <n v="67.79661016949153"/>
        <n v="50.42016806722689"/>
        <n v="98.76543209876543"/>
        <n v="9.345794392523365"/>
        <n v="26.785714285714285"/>
        <n v="27.522935779816514"/>
        <n v="31.57894736842105"/>
        <n v="35.15625"/>
        <n v="38.27751196172249"/>
        <n v="24.539877300613497"/>
        <n v="40.4040404040404"/>
        <n v="32.78688524590164"/>
        <n v="36.58536585365854"/>
        <n v="34.48275862068966"/>
        <n v="27.77777777777778"/>
        <n v="21.27659574468085"/>
        <n v="105.26315789473684"/>
        <n v="15.503875968992247"/>
        <n v="46.05263157894737"/>
        <n v="34.33476394849785"/>
        <n v="20.2020202020202"/>
        <n v="23.25581395348837"/>
        <n v="29.702970297029704"/>
        <n v="13.333333333333334"/>
        <n v="32.0"/>
        <n v="41.81184668989547"/>
        <n v="28.985507246376812"/>
        <n v="14.492753623188406"/>
        <n v="34.01360544217687"/>
        <n v="36.03603603603604"/>
        <n v="25.477707006369428"/>
        <n v="27.027027027027028"/>
        <n v="28.169014084507044"/>
        <n v="5.0"/>
        <n v="3.0"/>
        <n v="2.0"/>
        <n v="6.0"/>
        <n v="4.0"/>
        <n v="0.25"/>
        <n v="15.0"/>
        <n v="2.5"/>
        <n v="10.0"/>
        <n v="7.5"/>
        <n v="6.666666666666667"/>
        <n v="3.3333333333333335"/>
        <n v="8.0"/>
        <n v="24.43280977312391"/>
        <n v="23.923444976076556"/>
        <n v="26.217228464419474"/>
        <n v="28.07017543859649"/>
        <n v="30.18867924528302"/>
        <n v="25.906735751295336"/>
        <n v="18.248175182481752"/>
        <n v="25.423728813559322"/>
        <n v="74.07407407407408"/>
        <n v="30.075187969924812"/>
        <n v="20.2275600505689"/>
        <n v="22.471910112359552"/>
        <n v="19.656019656019655"/>
        <n v="16.563146997929607"/>
        <n v="21.8408736349454"/>
        <n v="20.408163265306122"/>
        <n v="22.69503546099291"/>
        <n v="26.246719160104988"/>
        <n v="23.633677991137372"/>
        <n v="26.229508196721312"/>
        <n v="30.36876355748373"/>
        <n v="22.544283413848632"/>
        <n v="31.53153153153153"/>
        <n v="27.131782945736433"/>
        <n v="30.501089324618736"/>
        <n v="28.49002849002849"/>
        <n v="33.57314148681055"/>
        <n v="30.690537084398976"/>
        <n v="25.35211267605634"/>
        <n v="26.94300518134715"/>
        <n v="17.045454545454547"/>
        <n v="24.449877750611247"/>
        <n v="26.905829596412556"/>
        <n v="23.166023166023166"/>
        <n v="72.50755287009063"/>
        <n v="23.62204724409449"/>
        <n v="26.041666666666668"/>
        <n v="22.172949002217294"/>
        <n v="23.28966521106259"/>
        <n v="64.30868167202573"/>
        <n v="22.78275020341741"/>
        <n v="65.21739130434783"/>
        <n v="32.25806451612903"/>
        <n v="205.12820512820514"/>
        <n v="55.865921787709496"/>
        <n v="32.89473684210526"/>
        <n v="30.150753768844222"/>
        <n v="59.880239520958085"/>
        <n v="45.627376425855516"/>
        <n v="38.91050583657587"/>
        <n v="45.11278195488722"/>
        <n v="43.75"/>
        <n v="53.475935828877006"/>
        <n v="60.60606060606061"/>
        <n v="30.223390275952696"/>
        <n v="25.641025641025642"/>
        <n v="22.535211267605632"/>
        <n v="46.728971962616825"/>
        <n v="55.172413793103445"/>
        <n v="50.76142131979695"/>
        <n v="33.39517625231911"/>
        <n v="51.94805194805195"/>
        <n v="53.691275167785236"/>
        <n v="5.681818181818182"/>
        <n v="15.873015873015873"/>
        <n v="8.695652173913043"/>
        <n v="9.30232558139535"/>
        <n v="4.310344827586207"/>
        <n v="14.545454545454545"/>
        <n v="14.084507042253522"/>
        <n v="16.3265306122449"/>
        <n v="13.513513513513514"/>
        <n v="7.558139534883721"/>
        <n v="15.384615384615385"/>
        <n v="13.953488372093023"/>
        <n v="13.636363636363637"/>
        <n v="14.925373134328359"/>
        <n v="23.376623376623378"/>
        <n v="18.75"/>
        <n v="19.672131147540984"/>
        <n v="17.142857142857142"/>
        <n v="12.244897959183673"/>
        <n v="11.764705882352942"/>
        <n v="6.428571428571429"/>
        <n v="8.035714285714286"/>
        <n v="6.25"/>
        <n v="5.625"/>
        <n v="6.779661016949152"/>
        <n v="5.555555555555555"/>
        <n v="5.970149253731344"/>
        <n v="26.08695652173913"/>
        <n v="37.03703703703704"/>
        <n v="9.00900900900901"/>
        <n v="24.0"/>
        <n v="11.538461538461538"/>
        <n v="8.16326530612245"/>
        <n v="12.698412698412698"/>
        <n v="18.39080459770115"/>
        <n v="7.6923076923076925"/>
        <n v="19.51219512195122"/>
        <n v="33.333333333333336"/>
        <n v="16.071428571428573"/>
        <n v="10.714285714285714"/>
        <n v="9.375"/>
        <n v="15.625"/>
      </sharedItems>
    </cacheField>
    <cacheField name="H/Supply" numFmtId="4">
      <sharedItems containsSemiMixedTypes="0" containsString="0" containsNumber="1">
        <n v="33.833333333333336"/>
        <n v="29.0"/>
        <n v="38.5"/>
        <n v="38.46153846153846"/>
        <n v="37.5"/>
        <n v="38.0"/>
        <n v="67.33333333333333"/>
        <n v="50.333333333333336"/>
        <n v="75.5"/>
        <n v="33.333333333333336"/>
        <n v="20.6"/>
        <n v="61.2"/>
        <n v="100.0"/>
        <n v="14.2"/>
        <n v="51.0"/>
        <n v="50.8"/>
        <n v="50.75"/>
        <n v="50.5"/>
        <n v="44.0"/>
        <n v="40.90909090909091"/>
        <n v="64.0"/>
        <n v="27.428571428571427"/>
        <n v="54.285714285714285"/>
        <n v="27.142857142857142"/>
        <n v="50.0"/>
        <n v="42.5"/>
        <n v="42.22222222222222"/>
        <n v="31.307692307692307"/>
        <n v="29.5"/>
        <n v="31.5"/>
        <n v="28.11111111111111"/>
        <n v="28.857142857142858"/>
        <n v="20.266666666666666"/>
        <n v="25.333333333333332"/>
        <n v="31.625"/>
        <n v="72.57142857142857"/>
        <n v="6.363636363636363"/>
        <n v="23.53846153846154"/>
        <n v="22.5"/>
        <n v="126.66666666666667"/>
        <n v="20.1"/>
        <n v="10.4"/>
        <n v="16.137931034482758"/>
        <n v="12.64864864864865"/>
        <n v="17.192307692307693"/>
        <n v="15.448275862068966"/>
        <n v="17.142857142857142"/>
        <n v="12.444444444444445"/>
        <n v="12.65625"/>
        <n v="12.0"/>
        <n v="16.875"/>
        <n v="32.84615384615385"/>
        <n v="25.11764705882353"/>
        <n v="14.714285714285714"/>
        <n v="16.423076923076923"/>
        <n v="12.93939393939394"/>
        <n v="13.864864864864865"/>
        <n v="12.962962962962964"/>
        <n v="69.44444444444444"/>
        <n v="21.978021978021978"/>
        <n v="22.727272727272727"/>
        <n v="20.833333333333332"/>
        <n v="32.25806451612903"/>
        <n v="25.974025974025974"/>
        <n v="47.61904761904762"/>
        <n v="33.61344537815126"/>
        <n v="16.949152542372882"/>
        <n v="20.61855670103093"/>
        <n v="9.181818181818182"/>
        <n v="6.733333333333333"/>
        <n v="6.722222222222222"/>
        <n v="4.84"/>
        <n v="10.0"/>
        <n v="8.0"/>
        <n v="10.090909090909092"/>
        <n v="6.9375"/>
        <n v="15.0"/>
        <n v="6.514285714285714"/>
        <n v="7.214285714285714"/>
        <n v="20.72538860103627"/>
        <n v="14.234875444839858"/>
        <n v="12.5"/>
        <n v="15.228426395939087"/>
        <n v="17.54385964912281"/>
        <n v="23.952095808383234"/>
        <n v="4.012711864406779"/>
        <n v="25.210084033613445"/>
        <n v="37.03703703703704"/>
        <n v="9.345794392523365"/>
        <n v="17.857142857142858"/>
        <n v="4.587155963302752"/>
        <n v="21.05263157894737"/>
        <n v="15.625"/>
        <n v="19.138755980861244"/>
        <n v="12.269938650306749"/>
        <n v="20.2020202020202"/>
        <n v="16.39344262295082"/>
        <n v="12.195121951219512"/>
        <n v="22.988505747126435"/>
        <n v="18.51851851851852"/>
        <n v="10.638297872340425"/>
        <n v="52.63157894736842"/>
        <n v="15.503875968992247"/>
        <n v="23.026315789473685"/>
        <n v="17.167381974248926"/>
        <n v="4.671717171717172"/>
        <n v="7.077519379844961"/>
        <n v="20.0"/>
        <n v="19.801980198019802"/>
        <n v="6.507692307692308"/>
        <n v="3.3333333333333335"/>
        <n v="20.905923344947734"/>
        <n v="14.492753623188406"/>
        <n v="28.985507246376812"/>
        <n v="15.384615384615385"/>
        <n v="13.605442176870747"/>
        <n v="22.52252252252252"/>
        <n v="19.10828025477707"/>
        <n v="27.027027027027028"/>
        <n v="14.084507042253522"/>
        <n v="9.090909090909092"/>
        <n v="11.0"/>
        <n v="7.0"/>
        <n v="6.0"/>
        <n v="9.0"/>
        <n v="0.28125"/>
        <n v="5.0"/>
        <n v="2.3333333333333335"/>
        <n v="3.5"/>
        <n v="19.5"/>
        <n v="9.333333333333334"/>
        <n v="14.0"/>
        <n v="4.666666666666667"/>
        <n v="28.0"/>
        <n v="39.0"/>
        <n v="6.666666666666667"/>
        <n v="13.0"/>
        <n v="4.0"/>
        <n v="9.75"/>
        <n v="26.17801047120419"/>
        <n v="21.5311004784689"/>
        <n v="26.217228464419474"/>
        <n v="18.867924528301888"/>
        <n v="23.316062176165804"/>
        <n v="36.496350364963504"/>
        <n v="31.073446327683616"/>
        <n v="46.2962962962963"/>
        <n v="30.456852791878173"/>
        <n v="18.796992481203006"/>
        <n v="20.2275600505689"/>
        <n v="20.224719101123597"/>
        <n v="19.656019656019655"/>
        <n v="18.633540372670808"/>
        <n v="17.940717628705148"/>
        <n v="28.06122448979592"/>
        <n v="28.368794326241133"/>
        <n v="23.62204724409449"/>
        <n v="13.293943870014772"/>
        <n v="19.672131147540984"/>
        <n v="21.691973969631235"/>
        <n v="16.10305958132045"/>
        <n v="20.27027027027027"/>
        <n v="19.37984496124031"/>
        <n v="21.78649237472767"/>
        <n v="19.943019943019944"/>
        <n v="18.666666666666668"/>
        <n v="16.786570743405274"/>
        <n v="20.460358056265985"/>
        <n v="19.718309859154928"/>
        <n v="21.761658031088082"/>
        <n v="39.77272727272727"/>
        <n v="22.00488997555012"/>
        <n v="31.390134529147982"/>
        <n v="11.583011583011583"/>
        <n v="75.52870090634441"/>
        <n v="27.559055118110237"/>
        <n v="23.4375"/>
        <n v="21.433850702143385"/>
        <n v="13.100436681222707"/>
        <n v="61.09324758842444"/>
        <n v="17.90073230268511"/>
        <n v="21.428571428571427"/>
        <n v="108.69565217391305"/>
        <n v="53.763440860215056"/>
        <n v="76.92307692307692"/>
        <n v="50.279329608938546"/>
        <n v="59.21052631578947"/>
        <n v="70.35175879396985"/>
        <n v="35.92814371257485"/>
        <n v="49.42965779467681"/>
        <n v="35.01945525291829"/>
        <n v="32.581453634085214"/>
        <n v="25.0"/>
        <n v="37.4331550802139"/>
        <n v="40.4040404040404"/>
        <n v="23.653088042049934"/>
        <n v="153.84615384615384"/>
        <n v="135.2112676056338"/>
        <n v="46.728971962616825"/>
        <n v="41.37931034482759"/>
        <n v="45.68527918781726"/>
        <n v="65.0"/>
        <n v="38.96103896103896"/>
        <n v="29.22077922077922"/>
        <n v="40.26845637583892"/>
        <n v="4.568181818181818"/>
        <n v="5.73015873015873"/>
        <n v="6.630434782608695"/>
        <n v="5.906976744186046"/>
        <n v="6.241379310344827"/>
        <n v="7.675"/>
        <n v="8.520833333333334"/>
        <n v="6.14"/>
        <n v="6.333333333333333"/>
        <n v="6.736111111111111"/>
        <n v="5.6"/>
        <n v="6.338028169014085"/>
        <n v="8.408163265306122"/>
        <n v="9.833333333333334"/>
        <n v="6.446428571428571"/>
        <n v="6.756756756756757"/>
        <n v="9.744186046511627"/>
        <n v="7.82051282051282"/>
        <n v="9.44186046511628"/>
        <n v="6.931818181818182"/>
        <n v="6.164179104477612"/>
        <n v="4.529411764705882"/>
        <n v="3.2083333333333335"/>
        <n v="7.7"/>
        <n v="5.703703703703703"/>
        <n v="5.918032786885246"/>
        <n v="8.8"/>
        <n v="8.346938775510203"/>
        <n v="6.03921568627451"/>
        <n v="8.771428571428572"/>
        <n v="10.964285714285714"/>
        <n v="11.36111111111111"/>
        <n v="5.203389830508475"/>
        <n v="4.263888888888889"/>
        <n v="6.08955223880597"/>
        <n v="7.826086956521739"/>
        <n v="13.037037037037036"/>
        <n v="10.051282051282051"/>
        <n v="2.765765765765766"/>
        <n v="7.24"/>
        <n v="5.027777777777778"/>
        <n v="9.363636363636363"/>
        <n v="5.923076923076923"/>
        <n v="6.244897959183674"/>
        <n v="5.1"/>
        <n v="4.857142857142857"/>
        <n v="4.160919540229885"/>
        <n v="6.375"/>
        <n v="4.8125"/>
        <n v="3.7560975609756095"/>
        <n v="0.8"/>
        <n v="4.390243902439025"/>
        <n v="6.35"/>
        <n v="43.333333333333336"/>
        <n v="12.166666666666666"/>
        <n v="7.571428571428571"/>
        <n v="8.928571428571429"/>
        <n v="10.8"/>
        <n v="10.6"/>
        <n v="14.4"/>
        <n v="11.714285714285714"/>
        <n v="9.125"/>
        <n v="8.333333333333334"/>
        <n v="14.285714285714286"/>
        <n v="16.25"/>
        <n v="26.0"/>
        <n v="10.285714285714286"/>
        <n v="8.833333333333334"/>
        <n v="13.25"/>
        <n v="14.6"/>
        <n v="15.5"/>
        <n v="18.25"/>
        <n v="8.142857142857142"/>
        <n v="11.666666666666666"/>
        <n v="17.666666666666668"/>
        <n v="13.6"/>
        <n v="13.833333333333334"/>
        <n v="17.75"/>
        <n v="10.916666666666666"/>
        <n v="18.0"/>
        <n v="8.571428571428571"/>
      </sharedItems>
    </cacheField>
    <cacheField name="DPS/Supply" numFmtId="4">
      <sharedItems containsSemiMixedTypes="0" containsString="0" containsNumber="1">
        <n v="0.6666666666666666"/>
        <n v="0.5714285714285714"/>
        <n v="1.75"/>
        <n v="1.0769230769230769"/>
        <n v="0.25"/>
        <n v="0.75"/>
        <n v="0.3333333333333333"/>
        <n v="0.5"/>
        <n v="0.0"/>
        <n v="1.0"/>
        <n v="0.9"/>
        <n v="0.4"/>
        <n v="1.25"/>
        <n v="0.7142857142857143"/>
        <n v="0.45454545454545453"/>
        <n v="0.14285714285714285"/>
        <n v="2.0"/>
        <n v="0.6428571428571429"/>
        <n v="0.625"/>
        <n v="0.8333333333333334"/>
        <n v="0.5555555555555556"/>
        <n v="0.07692307692307693"/>
        <n v="0.05"/>
        <n v="0.057"/>
        <n v="0.05477777777777778"/>
        <n v="0.2857142857142857"/>
        <n v="0.9333333333333333"/>
        <n v="1.1666666666666667"/>
        <n v="0.36363636363636365"/>
        <n v="0.38461538461538464"/>
        <n v="2.3333333333333335"/>
        <n v="0.1"/>
        <n v="0.16433333333333333"/>
        <n v="0.2222222222222222"/>
        <n v="0.3448275862068966"/>
        <n v="0.2702702702702703"/>
        <n v="0.27586206896551724"/>
        <n v="0.22857142857142856"/>
        <n v="0.1724137931034483"/>
        <n v="0.1388888888888889"/>
        <n v="0.32"/>
        <n v="0.4583333333333333"/>
        <n v="0.46153846153846156"/>
        <n v="0.35294117647058826"/>
        <n v="0.19230769230769232"/>
        <n v="0.15151515151515152"/>
        <n v="0.4594594594594595"/>
        <n v="0.3148148148148148"/>
        <n v="0.08333333333333333"/>
        <n v="0.06593406593406594"/>
        <n v="0.07954545454545454"/>
        <n v="0.0625"/>
        <n v="0.06451612903225806"/>
        <n v="0.7738095238095238"/>
        <n v="0.058823529411764705"/>
        <n v="0.07627118644067797"/>
        <n v="0.5979381443298969"/>
        <n v="0.18181818181818182"/>
        <n v="0.13333333333333333"/>
        <n v="0.1111111111111111"/>
        <n v="0.08"/>
        <n v="0.0965"/>
        <n v="0.0772"/>
        <n v="0.09090909090909091"/>
        <n v="0.19125"/>
        <n v="0.1275"/>
        <n v="0.07142857142857142"/>
        <n v="0.5077720207253886"/>
        <n v="0.3665480427046263"/>
        <n v="0.41875"/>
        <n v="0.3096446700507614"/>
        <n v="0.32894736842105265"/>
        <n v="0.32934131736526945"/>
        <n v="0.13559322033898305"/>
        <n v="0.31092436974789917"/>
        <n v="1.9753086419753085"/>
        <n v="0.5700934579439252"/>
        <n v="0.32142857142857145"/>
        <n v="0.5137614678899083"/>
        <n v="0.3526315789473684"/>
        <n v="0.4375"/>
        <n v="0.35406698564593303"/>
        <n v="0.4539877300613497"/>
        <n v="0.5757575757575758"/>
        <n v="0.5409836065573771"/>
        <n v="0.8658536585365854"/>
        <n v="0.7126436781609196"/>
        <n v="0.5462962962962963"/>
        <n v="0.31382978723404253"/>
        <n v="0.6842105263157895"/>
        <n v="0.5193798449612403"/>
        <n v="0.22039473684210525"/>
        <n v="0.24553571428571427"/>
        <n v="0.34334763948497854"/>
        <n v="0.37373737373737376"/>
        <n v="0.2248062015503876"/>
        <n v="0.275"/>
        <n v="0.2722772277227723"/>
        <n v="0.3076923076923077"/>
        <n v="0.16"/>
        <n v="0.412"/>
        <n v="0.23344947735191637"/>
        <n v="0.21739130434782608"/>
        <n v="0.39855072463768115"/>
        <n v="0.2846153846153846"/>
        <n v="0.08163265306122448"/>
        <n v="0.03821656050955414"/>
        <n v="0.08108108108108109"/>
        <n v="0.19014084507042253"/>
        <n v="0.08181818181818182"/>
        <n v="4.0"/>
        <n v="0.28125"/>
        <n v="3.0"/>
        <n v="2.5"/>
        <n v="5.0"/>
        <n v="1.3333333333333333"/>
        <n v="6.0"/>
        <n v="2.6666666666666665"/>
        <n v="0.8"/>
        <n v="3.5"/>
        <n v="0.41866028708133973"/>
        <n v="0.31273408239700373"/>
        <n v="0.43508771929824563"/>
        <n v="0.6"/>
        <n v="0.4792746113989637"/>
        <n v="0.6313868613138686"/>
        <n v="0.3799435028248588"/>
        <n v="0.2913705583756345"/>
        <n v="0.6954887218045113"/>
        <n v="0.41213653603034134"/>
        <n v="0.22696629213483147"/>
        <n v="0.4668304668304668"/>
        <n v="0.9006211180124224"/>
        <n v="0.33931357254290173"/>
        <n v="0.5586734693877551"/>
        <n v="0.47801418439716314"/>
        <n v="0.42782152230971127"/>
        <n v="0.6425406203840472"/>
        <n v="0.3737704918032787"/>
        <n v="0.9436008676789588"/>
        <n v="0.5829307568438004"/>
        <n v="0.8963963963963963"/>
        <n v="0.7364341085271318"/>
        <n v="0.8278867102396514"/>
        <n v="0.7720797720797721"/>
        <n v="0.8213333333333334"/>
        <n v="0.5635491606714629"/>
        <n v="0.6930946291560103"/>
        <n v="0.6380281690140845"/>
        <n v="0.7512953367875648"/>
        <n v="0.3923444976076555"/>
        <n v="0.7244318181818182"/>
        <n v="0.3202933985330073"/>
        <n v="0.5179372197309418"/>
        <n v="0.45366795366795365"/>
        <n v="0.851963746223565"/>
        <n v="0.42322834645669294"/>
        <n v="0.3723958333333333"/>
        <n v="0.4818920916481892"/>
        <n v="0.7379912663755459"/>
        <n v="0.9356913183279743"/>
        <n v="0.5012205044751831"/>
        <n v="0.8285714285714286"/>
        <n v="0.8152173913043478"/>
        <n v="0.6153846153846154"/>
        <n v="0.3407821229050279"/>
        <n v="0.40131578947368424"/>
        <n v="0.5577889447236181"/>
        <n v="0.5508982035928144"/>
        <n v="0.3269961977186312"/>
        <n v="0.8715953307392996"/>
        <n v="0.37343358395989973"/>
        <n v="0.5458333333333333"/>
        <n v="0.496875"/>
        <n v="0.5989304812834224"/>
        <n v="0.5202020202020202"/>
        <n v="0.4763469119579501"/>
        <n v="0.8504273504273504"/>
        <n v="0.7126760563380282"/>
        <n v="0.7757009345794392"/>
        <n v="0.6758620689655173"/>
        <n v="0.29441624365482233"/>
        <n v="0.37"/>
        <n v="0.4025974025974026"/>
        <n v="0.5454545454545454"/>
        <n v="0.40939597315436244"/>
        <n v="0.5079365079365079"/>
        <n v="0.6739130434782609"/>
        <n v="0.7209302325581395"/>
        <n v="1.0344827586206897"/>
        <n v="0.48"/>
        <n v="0.7083333333333334"/>
        <n v="0.4722222222222222"/>
        <n v="0.5818181818181818"/>
        <n v="0.4507042253521127"/>
        <n v="0.3673469387755102"/>
        <n v="0.3"/>
        <n v="0.4107142857142857"/>
        <n v="0.3108108108108108"/>
        <n v="0.62"/>
        <n v="0.41025641025641024"/>
        <n v="0.37209302325581395"/>
        <n v="0.417910447761194"/>
        <n v="0.47058823529411764"/>
        <n v="0.4935064935064935"/>
        <n v="0.3958333333333333"/>
        <n v="0.4642857142857143"/>
        <n v="0.55"/>
        <n v="0.4074074074074074"/>
        <n v="0.4098360655737705"/>
        <n v="0.45714285714285713"/>
        <n v="0.32653061224489793"/>
        <n v="0.3137254901960784"/>
        <n v="0.6857142857142857"/>
        <n v="0.8571428571428571"/>
        <n v="0.3050847457627119"/>
        <n v="0.26865671641791045"/>
        <n v="0.5652173913043478"/>
        <n v="0.4864864864864865"/>
        <n v="0.34"/>
        <n v="0.2361111111111111"/>
        <n v="0.7692307692307693"/>
        <n v="0.4489795918367347"/>
        <n v="0.36666666666666664"/>
        <n v="0.6031746031746031"/>
        <n v="0.367816091954023"/>
        <n v="0.375"/>
        <n v="1.0434782608695652"/>
        <n v="0.3902439024390244"/>
        <n v="0.4634146341463415"/>
        <n v="0.95"/>
        <n v="1.6"/>
        <n v="1.2"/>
        <n v="1.7142857142857142"/>
        <n v="1.5"/>
        <n v="1.2857142857142858"/>
        <n v="1.125"/>
        <n v="1.4"/>
        <n v="2.4"/>
        <n v="1.8"/>
        <n v="1.6666666666666667"/>
        <n v="0.875"/>
        <n v="1.1428571428571428"/>
      </sharedItems>
    </cacheField>
    <cacheField name="S/Pop">
      <sharedItems containsMixedTypes="1" containsNumber="1">
        <n v="800.0"/>
        <n v="533.3333333333334"/>
        <n v="1000.0"/>
        <n v="600.0"/>
        <n v="400.0"/>
        <n v="200.0"/>
        <n v="150.0"/>
        <n v="375.0"/>
        <e v="#DIV/0!"/>
        <n v="300.0"/>
        <n v="125.0"/>
        <n v="100.0"/>
        <n v="266.6666666666667"/>
        <n v="187.5"/>
        <n v="75.0"/>
        <n v="41.666666666666664"/>
        <n v="133.33333333333334"/>
        <n v="666.6666666666666"/>
        <n v="50.0"/>
        <n v="66.66666666666667"/>
        <n v="105.26315789473684"/>
        <n v="76.92307692307692"/>
        <n v="43.47826086956522"/>
        <n v="35.714285714285715"/>
        <n v="90.9090909090909"/>
        <n v="25.0"/>
        <n v="285.7142857142857"/>
        <n v="260.8695652173913"/>
        <n v="131.57894736842104"/>
        <n v="1230.7692307692307"/>
        <n v="62.5"/>
        <n v="193.5483870967742"/>
        <n v="391.30434782608694"/>
        <n v="111.11111111111111"/>
        <n v="350.0"/>
        <n v="137.93103448275863"/>
        <n v="363.6363636363636"/>
        <n v="307.6923076923077"/>
        <n v="571.4285714285714"/>
        <n v="421.05263157894734"/>
        <n v="95.23809523809524"/>
        <n v="130.43478260869566"/>
        <n v="357.14285714285717"/>
        <n v="333.3333333333333"/>
        <n v="222.22222222222223"/>
        <n v="153.84615384615384"/>
        <n v="5.0"/>
        <n v="2.5"/>
        <n v="1.5"/>
        <n v="2.0"/>
        <n v="6.0"/>
        <n v="3.0"/>
        <n v="8.0"/>
        <n v="1.0"/>
        <n v="4.0"/>
        <n v="10.0"/>
        <n v="7.5"/>
        <n v="15.0"/>
        <n v="40.0"/>
        <n v="20.0"/>
        <n v="12.5"/>
        <n v="30.0"/>
        <n v="140.0"/>
        <n v="303.030303030303"/>
        <n v="311.1111111111111"/>
        <n v="347.82608695652175"/>
        <n v="166.66666666666666"/>
        <n v="352.94117647058823"/>
        <n v="160.0"/>
        <n v="355.55555555555554"/>
        <n v="294.11764705882354"/>
        <n v="383.56164383561645"/>
        <n v="253.96825396825398"/>
        <n v="434.7826086956522"/>
        <n v="410.2564102564103"/>
        <n v="380.95238095238096"/>
        <n v="151.5151515151515"/>
        <n v="139.53488372093022"/>
        <n v="256.4102564102564"/>
        <n v="255.31914893617022"/>
        <n v="428.57142857142856"/>
        <n v="230.76923076923077"/>
        <n v="411.7647058823529"/>
        <n v="109.0909090909091"/>
        <n v="178.57142857142858"/>
        <n v="136.36363636363637"/>
        <n v="444.44444444444446"/>
        <n v="238.0952380952381"/>
        <n v="173.91304347826087"/>
        <n v="257.14285714285717"/>
        <n v="516.1290322580645"/>
        <n v="250.0"/>
        <n v="32.5"/>
        <n v="360.0"/>
        <n v="37.5"/>
        <n v="120.0"/>
        <n v="228.57142857142858"/>
        <n v="112.5"/>
      </sharedItems>
    </cacheField>
    <cacheField name="H/Pop">
      <sharedItems containsMixedTypes="1" containsNumber="1">
        <n v="203.0"/>
        <n v="102.66666666666667"/>
        <n v="250.0"/>
        <n v="150.0"/>
        <n v="152.0"/>
        <n v="202.0"/>
        <n v="151.0"/>
        <n v="100.0"/>
        <n v="103.0"/>
        <n v="153.0"/>
        <n v="500.0"/>
        <e v="#DIV/0!"/>
        <n v="127.5"/>
        <n v="254.0"/>
        <n v="225.0"/>
        <n v="400.0"/>
        <n v="380.0"/>
        <n v="50.0"/>
        <n v="135.66666666666666"/>
        <n v="295.0"/>
        <n v="126.0"/>
        <n v="253.0"/>
        <n v="101.0"/>
        <n v="101.33333333333333"/>
        <n v="126.5"/>
        <n v="169.33333333333334"/>
        <n v="35.0"/>
        <n v="102.0"/>
        <n v="100.5"/>
        <n v="58.5"/>
        <n v="117.0"/>
        <n v="55.875"/>
        <n v="74.66666666666667"/>
        <n v="149.33333333333334"/>
        <n v="67.5"/>
        <n v="200.0"/>
        <n v="101.25"/>
        <n v="106.75"/>
        <n v="85.5"/>
        <n v="233.33333333333334"/>
        <n v="156.25"/>
        <n v="66.66666666666667"/>
        <n v="105.26315789473684"/>
        <n v="76.92307692307692"/>
        <n v="133.33333333333334"/>
        <n v="86.95652173913044"/>
        <n v="71.42857142857143"/>
        <n v="90.9090909090909"/>
        <n v="50.5"/>
        <n v="60.5"/>
        <n v="40.0"/>
        <n v="111.0"/>
        <n v="45.0"/>
        <n v="166.66666666666666"/>
        <n v="142.85714285714286"/>
        <n v="130.43478260869566"/>
        <n v="72.84615384615384"/>
        <n v="62.5"/>
        <n v="129.03225806451613"/>
        <n v="47.61904761904762"/>
        <n v="173.91304347826087"/>
        <n v="55.55555555555556"/>
        <n v="175.0"/>
        <n v="68.96551724137932"/>
        <n v="84.0909090909091"/>
        <n v="114.125"/>
        <n v="153.84615384615384"/>
        <n v="120.85714285714286"/>
        <n v="190.47619047619048"/>
        <n v="208.33333333333334"/>
        <n v="7.0"/>
        <n v="3.0"/>
        <n v="3.5"/>
        <n v="9.0"/>
        <n v="4.5"/>
        <n v="6.0"/>
        <n v="5.0"/>
        <n v="28.0"/>
        <n v="10.0"/>
        <n v="14.0"/>
        <n v="20.0"/>
        <n v="39.0"/>
        <n v="272.72727272727275"/>
        <n v="311.1111111111111"/>
        <n v="115.38461538461539"/>
        <n v="217.3913043478261"/>
        <n v="263.1578947368421"/>
        <n v="431.37254901960785"/>
        <n v="375.0"/>
        <n v="355.55555555555554"/>
        <n v="264.70588235294116"/>
        <n v="315.06849315068496"/>
        <n v="349.2063492063492"/>
        <n v="277.77777777777777"/>
        <n v="391.30434782608694"/>
        <n v="230.76923076923077"/>
        <n v="285.7142857142857"/>
        <n v="333.3333333333333"/>
        <n v="325.5813953488372"/>
        <n v="297.8723404255319"/>
        <n v="214.28571428571428"/>
        <n v="269.2307692307692"/>
        <n v="300.0"/>
        <n v="386.6666666666667"/>
        <n v="323.52941176470586"/>
        <n v="312.5"/>
        <n v="254.54545454545453"/>
        <n v="107.14285714285714"/>
        <n v="147.72727272727272"/>
        <n v="288.8888888888889"/>
        <n v="222.22222222222223"/>
        <n v="282.60869565217394"/>
        <n v="290.3225806451613"/>
        <n v="90.25"/>
        <n v="38.125"/>
        <n v="63.5"/>
        <n v="60.333333333333336"/>
        <n v="76.75"/>
        <n v="102.25"/>
        <n v="76.0"/>
        <n v="242.5"/>
        <n v="51.333333333333336"/>
        <n v="75.0"/>
        <n v="51.5"/>
        <n v="147.5"/>
        <n v="125.0"/>
        <n v="41.9"/>
        <n v="60.0"/>
        <n v="50.833333333333336"/>
        <n v="67.66666666666667"/>
        <n v="103.25"/>
        <n v="77.0"/>
        <n v="61.6"/>
        <n v="60.166666666666664"/>
        <n v="154.0"/>
        <n v="204.5"/>
        <n v="25.583333333333332"/>
        <n v="51.166666666666664"/>
        <n v="68.16666666666667"/>
        <n v="90.5"/>
        <n v="38.25"/>
        <n v="76.5"/>
        <n v="51.714285714285715"/>
        <n v="76.25"/>
        <n v="26.666666666666668"/>
        <n v="73.0"/>
        <n v="53.0"/>
        <n v="54.0"/>
        <n v="36.0"/>
        <n v="82.0"/>
        <n v="65.0"/>
        <n v="130.0"/>
        <n v="37.5"/>
        <n v="36.5"/>
        <n v="93.0"/>
        <n v="57.0"/>
        <n v="70.0"/>
        <n v="72.0"/>
        <n v="26.5"/>
        <n v="68.0"/>
        <n v="71.0"/>
        <n v="65.5"/>
        <n v="32.5"/>
      </sharedItems>
    </cacheField>
    <cacheField name="DPS/Pop">
      <sharedItems containsMixedTypes="1" containsNumber="1">
        <n v="4.0"/>
        <n v="4.666666666666667"/>
        <n v="7.0"/>
        <n v="1.0"/>
        <n v="3.0"/>
        <n v="0.0"/>
        <n v="2.5"/>
        <n v="5.0"/>
        <e v="#DIV/0!"/>
        <n v="2.0"/>
        <n v="1.6666666666666667"/>
        <n v="0.5"/>
        <n v="0.3333333333333333"/>
        <n v="0.228"/>
        <n v="0.493"/>
        <n v="1.3333333333333333"/>
        <n v="0.2465"/>
        <n v="1.25"/>
        <n v="2.6666666666666665"/>
        <n v="5.333333333333333"/>
        <n v="2.75"/>
        <n v="1.5"/>
        <n v="2.8333333333333335"/>
        <n v="5.666666666666667"/>
        <n v="0.1875"/>
        <n v="0.2"/>
        <n v="0.3684210526315789"/>
        <n v="0.23076923076923078"/>
        <n v="0.26666666666666666"/>
        <n v="0.125"/>
        <n v="0.4090909090909091"/>
        <n v="0.386"/>
        <n v="0.3825"/>
        <n v="3.2666666666666666"/>
        <n v="4.291666666666667"/>
        <n v="4.785714285714286"/>
        <n v="2.652173913043478"/>
        <n v="1.4473684210526316"/>
        <n v="2.4615384615384617"/>
        <n v="2.466666666666667"/>
        <n v="3.8125"/>
        <n v="2.3225806451612905"/>
        <n v="2.9130434782608696"/>
        <n v="4.869565217391305"/>
        <n v="2.642857142857143"/>
        <n v="2.0555555555555554"/>
        <n v="3.0454545454545454"/>
        <n v="1.675"/>
        <n v="1.375"/>
        <n v="1.3793103448275863"/>
        <n v="6.7272727272727275"/>
        <n v="3.625"/>
        <n v="2.1153846153846154"/>
        <n v="5.714285714285714"/>
        <n v="5.421052631578948"/>
        <n v="1.488888888888889"/>
        <n v="2.619047619047619"/>
        <n v="1.608695652173913"/>
        <n v="0.8571428571428571"/>
        <n v="0.46153846153846156"/>
        <n v="1.2857142857142858"/>
        <n v="9.0"/>
        <n v="6.0"/>
        <n v="8.0"/>
        <n v="3.5"/>
        <n v="1.91"/>
        <n v="5.303030303030303"/>
        <n v="3.7111111111111112"/>
        <n v="2.3846153846153846"/>
        <n v="6.913043478260869"/>
        <n v="3.0833333333333335"/>
        <n v="4.552631578947368"/>
        <n v="5.2745098039215685"/>
        <n v="7.2"/>
        <n v="3.5875"/>
        <n v="3.7"/>
        <n v="7.2444444444444445"/>
        <n v="2.9705882352941178"/>
        <n v="5.958904109589041"/>
        <n v="6.9523809523809526"/>
        <n v="4.680555555555555"/>
        <n v="7.086956521739131"/>
        <n v="11.153846153846153"/>
        <n v="5.428571428571429"/>
        <n v="2.484848484848485"/>
        <n v="5.930232558139535"/>
        <n v="3.358974358974359"/>
        <n v="4.914893617021277"/>
        <n v="8.392857142857142"/>
        <n v="4.134615384615385"/>
        <n v="4.766666666666667"/>
        <n v="8.693333333333333"/>
        <n v="16.9"/>
        <n v="9.058823529411764"/>
        <n v="1.6"/>
        <n v="2.033333333333333"/>
        <n v="1.8484848484848484"/>
        <n v="2.018181818181818"/>
        <n v="1.6428571428571428"/>
        <n v="0.9772727272727273"/>
        <n v="3.311111111111111"/>
        <n v="4.851851851851852"/>
        <n v="1.8846153846153846"/>
        <n v="1.380952380952381"/>
        <n v="3.1"/>
        <n v="5.419354838709677"/>
        <n v="3.05"/>
        <n v="11.0"/>
        <n v="3.875"/>
        <n v="7.75"/>
        <n v="10.0"/>
        <n v="8.5"/>
        <n v="17.0"/>
        <n v="2.25"/>
        <n v="4.5"/>
        <n v="5.75"/>
        <n v="7.6"/>
        <n v="4.333333333333333"/>
        <n v="5.5"/>
        <n v="4.166666666666667"/>
        <n v="13.5"/>
        <n v="4.25"/>
        <n v="9.5"/>
        <n v="4.571428571428571"/>
        <n v="11.25"/>
        <n v="12.0"/>
        <n v="16.0"/>
        <n v="6.333333333333333"/>
        <n v="14.0"/>
      </sharedItems>
    </cacheField>
    <cacheField name="S/Maint" numFmtId="4">
      <sharedItems containsSemiMixedTypes="0" containsString="0" containsNumber="1">
        <n v="8.51063829787234"/>
        <n v="7.766990291262136"/>
        <n v="13.223140495867769"/>
        <n v="7.874015748031496"/>
        <n v="10.526315789473685"/>
        <n v="9.523809523809524"/>
        <n v="11.764705882352942"/>
        <n v="8.0"/>
        <n v="7.8431372549019605"/>
        <n v="10.256410256410257"/>
        <n v="4.761904761904762"/>
        <n v="2.5641025641025643"/>
        <n v="3.7037037037037037"/>
        <n v="4.225352112676056"/>
        <n v="3.5714285714285716"/>
        <n v="2.985074626865672"/>
        <n v="10.0"/>
        <n v="10.81081081081081"/>
        <n v="12.5"/>
        <n v="11.11111111111111"/>
        <n v="7.6923076923076925"/>
        <n v="8.88888888888889"/>
        <n v="5.769230769230769"/>
        <n v="3.7914691943127963"/>
        <n v="2.6595744680851063"/>
        <n v="1.2376237623762376"/>
        <n v="2.4752475247524752"/>
        <n v="1.1961722488038278"/>
        <n v="10.126582278481013"/>
        <n v="6.25"/>
        <n v="9.30232558139535"/>
        <n v="5.813953488372093"/>
        <n v="2.9761904761904763"/>
        <n v="2.314814814814815"/>
        <n v="6.944444444444445"/>
        <n v="5.405405405405405"/>
        <n v="3.141361256544503"/>
        <n v="2.0671834625322996"/>
        <n v="4.651162790697675"/>
        <n v="3.10077519379845"/>
        <n v="2.4038461538461537"/>
        <n v="3.65296803652968"/>
        <n v="3.4188034188034186"/>
        <n v="4.8"/>
        <n v="2.912621359223301"/>
        <n v="1.7772511848341233"/>
        <n v="3.1746031746031744"/>
        <n v="4.62962962962963"/>
        <n v="2.5"/>
        <n v="2.476780185758514"/>
        <n v="1.8823529411764706"/>
        <n v="1.4981273408239701"/>
        <n v="1.5625"/>
        <n v="0.5938242280285035"/>
        <n v="1.7725258493353029"/>
        <n v="0.9592326139088729"/>
        <n v="0.7662835249042146"/>
        <n v="3.485838779956427"/>
        <n v="2.063983488132095"/>
        <n v="1.5325670498084292"/>
        <n v="1.5384615384615385"/>
        <n v="1.2195121951219512"/>
        <n v="1.9656019656019657"/>
        <n v="2.0833333333333335"/>
        <n v="1.6632016632016633"/>
        <n v="1.5113350125944585"/>
        <n v="1.0335917312661498"/>
        <n v="1.5444015444015444"/>
        <n v="1.5255530129672006"/>
        <n v="1.5835312747426762"/>
        <n v="1.941747572815534"/>
        <n v="1.6835016835016836"/>
        <n v="1.2077294685990339"/>
        <n v="4.942339373970346"/>
        <n v="1.1648223645894"/>
        <n v="1.1730205278592376"/>
        <n v="1.1783610069630424"/>
        <n v="2.094240837696335"/>
        <n v="1.5686274509803921"/>
        <n v="1.3605442176870748"/>
        <n v="0.9685230024213075"/>
        <n v="1.550387596899225"/>
        <n v="1.0471204188481675"/>
        <n v="0.746268656716418"/>
        <n v="0.6578947368421053"/>
        <n v="0.5154639175257731"/>
        <n v="1.6842105263157894"/>
        <n v="1.1111111111111112"/>
        <n v="0.8333333333333334"/>
        <n v="1.4388489208633093"/>
        <n v="2.2255192878338277"/>
        <n v="1.7346053772766696"/>
        <n v="2.857142857142857"/>
        <n v="1.1431184270690444"/>
        <n v="2.0755500207555"/>
        <n v="4.71976401179941"/>
        <n v="3.500583430571762"/>
        <n v="10.296010296010296"/>
        <n v="0.6480881399870383"/>
        <n v="1.8650917003419334"/>
        <n v="1.9114367633004141"/>
        <n v="2.1937842778793417"/>
        <n v="2.4483133841131663"/>
        <n v="3.5842293906810037"/>
        <n v="1.7072129748186087"/>
        <n v="2.805049088359046"/>
        <n v="2.271436683702442"/>
        <n v="2.548853016142736"/>
        <n v="2.3961661341853033"/>
        <n v="1.9230769230769231"/>
        <n v="1.105888858169754"/>
        <n v="10.964912280701755"/>
        <n v="1.0735373054213635"/>
        <n v="3.1978072179077204"/>
        <n v="2.479082739386427"/>
        <n v="2.3823704586063132"/>
        <n v="1.4005602240896358"/>
        <n v="1.609442060085837"/>
        <n v="3.7541060534960113"/>
        <n v="2.064693737095664"/>
        <n v="2.883922134102379"/>
        <n v="0.6963788300835655"/>
        <n v="2.2246941045606228"/>
        <n v="2.911914583838874"/>
        <n v="2.014098690835851"/>
        <n v="1.0040160642570282"/>
        <n v="1.601708489054992"/>
        <n v="3.198976327575176"/>
        <n v="2.5094102885821834"/>
        <n v="1.76444640494045"/>
        <n v="1.8832391713747645"/>
        <n v="2.3622047244094486"/>
        <n v="2.6490066225165565"/>
        <n v="1.96174595389897"/>
        <n v="2.527646129541864"/>
        <n v="0.4166666666666667"/>
        <n v="0.38461538461538464"/>
        <n v="0.25"/>
        <n v="0.2777777777777778"/>
        <n v="0.2631578947368421"/>
        <n v="0.23809523809523808"/>
        <n v="0.17647058823529413"/>
        <n v="0.2222222222222222"/>
        <n v="0.3157894736842105"/>
        <n v="0.21052631578947367"/>
        <n v="0.2727272727272727"/>
        <n v="0.24"/>
        <n v="0.19047619047619047"/>
        <n v="0.3333333333333333"/>
        <n v="0.1702127659574468"/>
        <n v="0.07894736842105263"/>
        <n v="0.14285714285714285"/>
        <n v="0.1111111111111111"/>
        <n v="0.09523809523809523"/>
        <n v="0.35294117647058826"/>
        <n v="0.2"/>
        <n v="0.13953488372093023"/>
        <n v="0.13793103448275862"/>
        <n v="0.0975609756097561"/>
        <n v="1.5789473684210527"/>
        <n v="0.5319148936170213"/>
        <n v="0.22727272727272727"/>
        <n v="0.5882352941176471"/>
        <n v="0.4411764705882353"/>
        <n v="0.45454545454545453"/>
        <n v="0.4"/>
        <n v="0.40540540540540543"/>
        <n v="0.5555555555555556"/>
        <n v="0.8064516129032258"/>
        <n v="0.5952380952380952"/>
        <n v="0.425531914893617"/>
        <n v="0.5769230769230769"/>
        <n v="0.2857142857142857"/>
        <n v="0.8"/>
        <n v="0.7142857142857143"/>
        <n v="0.5405405405405406"/>
        <n v="0.46511627906976744"/>
        <n v="1.7857142857142858"/>
        <n v="0.3448275862068966"/>
        <n v="0.6666666666666666"/>
        <n v="0.5263157894736842"/>
        <n v="0.6410256410256411"/>
        <n v="0.5633802816901409"/>
        <n v="0.4444444444444444"/>
        <n v="0.29411764705882354"/>
        <n v="0.5084745762711864"/>
        <n v="0.9090909090909091"/>
        <n v="0.46875"/>
        <n v="1.6994416120417577"/>
        <n v="2.244668911335578"/>
        <n v="2.4617548795498507"/>
        <n v="1.9526482792287039"/>
        <n v="2.8338646829613885"/>
        <n v="1.8005041411595246"/>
        <n v="1.266784899923993"/>
        <n v="1.7700855541351166"/>
        <n v="5.157962604771115"/>
        <n v="2.8625954198473282"/>
        <n v="2.088772845953003"/>
        <n v="1.4077071969030441"/>
        <n v="1.564210855623338"/>
        <n v="1.025509550057685"/>
        <n v="0.8645844590943478"/>
        <n v="1.5202519274622652"/>
        <n v="1.4208329633247492"/>
        <n v="1.5796228650409714"/>
        <n v="1.8268176835951773"/>
        <n v="1.6449059319420172"/>
        <n v="1.82648401826484"/>
        <n v="2.1138456892646835"/>
        <n v="1.5693307925120503"/>
        <n v="2.19126623884802"/>
        <n v="1.8890837943597356"/>
        <n v="2.4600246002460024"/>
        <n v="1.9841269841269842"/>
        <n v="1.852881230313137"/>
        <n v="2.334500583625146"/>
        <n v="2.135991456034176"/>
        <n v="1.7653981953707336"/>
        <n v="1.8754959244030873"/>
        <n v="1.6641704110500914"/>
        <n v="1.1850681414181314"/>
        <n v="1.7027073046143368"/>
        <n v="1.871199126773741"/>
        <n v="1.6120365394948952"/>
        <n v="7.5566750629722925"/>
        <n v="1.6420361247947455"/>
        <n v="2.4479804161566707"/>
        <n v="1.5430511264273223"/>
        <n v="1.6209097355890993"/>
        <n v="6.718172657037286"/>
        <n v="1.586312390232848"/>
        <n v="2.0867491429423164"/>
        <n v="6.791171477079796"/>
        <n v="3.0326004548900682"/>
        <n v="14.0597539543058"/>
        <n v="5.2301255230125525"/>
        <n v="2.288329519450801"/>
        <n v="20.905923344947734"/>
        <n v="4.164931278633903"/>
        <n v="3.173763554615181"/>
        <n v="2.0308692120227456"/>
        <n v="3.4722222222222223"/>
        <n v="3.045464433326082"/>
        <n v="3.7243947858473"/>
        <n v="4.207573632538569"/>
        <n v="2.104300091491308"/>
        <n v="1.7809439002671417"/>
        <n v="1.5677052714089752"/>
        <n v="3.248862897985705"/>
        <n v="3.8259206121472977"/>
        <n v="3.5248501938667607"/>
        <n v="2.785515320334262"/>
        <n v="2.325280971450717"/>
        <n v="3.6084799278304014"/>
        <n v="3.717472118959108"/>
        <n v="0.5341880341880342"/>
        <n v="1.1013215859030836"/>
        <n v="0.6060606060606061"/>
        <n v="0.8676789587852495"/>
        <n v="0.2994011976047904"/>
        <n v="0.6968641114982579"/>
        <n v="0.5788712011577424"/>
        <n v="0.5532503457814661"/>
        <n v="1.1605415860735009"/>
        <n v="0.7751937984496124"/>
        <n v="1.0025062656641603"/>
        <n v="0.7272727272727273"/>
        <n v="1.1299435028248588"/>
        <n v="0.8605851979345955"/>
        <n v="0.9791921664626683"/>
        <n v="0.6978367062107467"/>
        <n v="0.5166931637519873"/>
        <n v="0.41279669762641896"/>
        <n v="1.073345259391771"/>
        <n v="0.9724473257698542"/>
        <n v="0.9316770186335404"/>
        <n v="1.0395010395010396"/>
        <n v="1.2282497441146367"/>
        <n v="1.6157989228007181"/>
        <n v="1.3215859030837005"/>
        <n v="1.2239902080783354"/>
        <n v="1.3937282229965158"/>
        <n v="1.0204081632653061"/>
        <n v="1.3651877133105803"/>
        <n v="1.1952191235059761"/>
        <n v="0.8534850640113798"/>
        <n v="0.8152173913043478"/>
        <n v="1.1049723756906078"/>
        <n v="0.4437869822485207"/>
        <n v="0.5434782608695652"/>
        <n v="0.43520309477756286"/>
        <n v="0.39198606271777003"/>
        <n v="0.34934497816593885"/>
        <n v="0.28735632183908044"/>
        <n v="0.3081664098613251"/>
        <n v="1.8154311649016641"/>
        <n v="2.5380710659898478"/>
        <n v="1.7730496453900708"/>
        <n v="0.8445945945945946"/>
        <n v="1.6713091922005572"/>
        <n v="1.1594202898550725"/>
        <n v="3.764705882352941"/>
        <n v="1.0830324909747293"/>
        <n v="0.46403712296983757"/>
        <n v="0.8743169398907104"/>
        <n v="1.2718600953895072"/>
        <n v="1.48975791433892"/>
        <n v="0.5822416302765647"/>
        <n v="1.3513513513513513"/>
        <n v="0.7525870178739417"/>
        <n v="1.0452961672473868"/>
        <n v="1.056338028169014"/>
        <n v="1.6233766233766234"/>
        <n v="1.0922330097087378"/>
        <n v="1.4705882352941178"/>
        <n v="1.271186440677966"/>
        <n v="1.1574074074074074"/>
        <n v="1.3333333333333333"/>
        <n v="1.2658227848101267"/>
        <n v="0.75"/>
        <n v="1.016260162601626"/>
        <n v="0.8503401360544217"/>
        <n v="1.1560693641618498"/>
        <n v="1.25"/>
        <n v="1.7045454545454546"/>
        <n v="0.8771929824561403"/>
        <n v="0.7017543859649122"/>
        <n v="0.9615384615384616"/>
        <n v="1.408450704225352"/>
        <n v="0.7894736842105263"/>
        <n v="0.704225352112676"/>
        <n v="0.7978723404255319"/>
        <n v="0.6696428571428571"/>
        <n v="0.872093023255814"/>
        <n v="1.0416666666666667"/>
        <n v="0.7194244604316546"/>
        <n v="0.8695652173913043"/>
        <n v="1.098901098901099"/>
        <n v="1.1363636363636365"/>
        <n v="1.0"/>
        <n v="1.1904761904761905"/>
        <n v="0.8620689655172413"/>
        <n v="0.9146341463414634"/>
        <n v="1.0135135135135136"/>
        <n v="0.8130081300813008"/>
        <n v="0.9375"/>
        <n v="1.0964912280701755"/>
        <n v="1.5267175572519085"/>
        <n v="1.293103448275862"/>
        <n v="1.3793103448275863"/>
        <n v="0.6802721088435374"/>
        <n v="0.9803921568627451"/>
        <n v="1.048951048951049"/>
      </sharedItems>
    </cacheField>
    <cacheField name="H/Maint" numFmtId="4">
      <sharedItems containsSemiMixedTypes="0" containsString="0" containsNumber="1">
        <n v="2.1595744680851063"/>
        <n v="1.970873786407767"/>
        <n v="2.5454545454545454"/>
        <n v="1.968503937007874"/>
        <n v="2.6315789473684212"/>
        <n v="2.4126984126984126"/>
        <n v="3.9607843137254903"/>
        <n v="3.02"/>
        <n v="2.9607843137254903"/>
        <n v="3.871794871794872"/>
        <n v="2.380952380952381"/>
        <n v="1.3205128205128205"/>
        <n v="3.740740740740741"/>
        <n v="4.309859154929577"/>
        <n v="4.761904761904762"/>
        <n v="0.7064676616915423"/>
        <n v="4.25"/>
        <n v="4.081081081081081"/>
        <n v="4.71875"/>
        <n v="4.703703703703703"/>
        <n v="3.9038461538461537"/>
        <n v="4.488888888888889"/>
        <n v="2.9615384615384617"/>
        <n v="2.132701421800948"/>
        <n v="4.085106382978723"/>
        <n v="1.900990099009901"/>
        <n v="3.762376237623762"/>
        <n v="1.8181818181818181"/>
        <n v="3.2151898734177213"/>
        <n v="2.5"/>
        <n v="2.9651162790697674"/>
        <n v="2.2093023255813953"/>
        <n v="1.8518518518518519"/>
        <n v="5.555555555555555"/>
        <n v="2.7027027027027026"/>
        <n v="2.130890052356021"/>
        <n v="1.524547803617571"/>
        <n v="2.9302325581395348"/>
        <n v="1.9612403100775193"/>
        <n v="1.9423076923076923"/>
        <n v="1.3881278538812785"/>
        <n v="1.2991452991452992"/>
        <n v="2.024"/>
        <n v="4.932038834951456"/>
        <n v="0.33175355450236965"/>
        <n v="1.619047619047619"/>
        <n v="1.1627906976744187"/>
        <n v="7.037037037037037"/>
        <n v="1.34"/>
        <n v="0.7244582043343654"/>
        <n v="1.1011764705882352"/>
        <n v="0.8764044943820225"/>
        <n v="1.1640625"/>
        <n v="1.0641330166270784"/>
        <n v="0.8862629246676514"/>
        <n v="1.0743405275779376"/>
        <n v="0.8582375478927203"/>
        <n v="0.8823529411764706"/>
        <n v="0.6191950464396285"/>
        <n v="1.5517241379310345"/>
        <n v="2.18974358974359"/>
        <n v="1.7357723577235773"/>
        <n v="1.0122850122850122"/>
        <n v="1.1119791666666667"/>
        <n v="0.8877338877338877"/>
        <n v="1.292191435768262"/>
        <n v="0.9043927648578811"/>
        <n v="4.826254826254826"/>
        <n v="1.5255530129672006"/>
        <n v="1.5835312747426762"/>
        <n v="1.941747572815534"/>
        <n v="2.244668911335578"/>
        <n v="2.4154589371980677"/>
        <n v="3.2948929159802307"/>
        <n v="2.3296447291788"/>
        <n v="1.1730205278592376"/>
        <n v="1.0712372790573113"/>
        <n v="0.5287958115183246"/>
        <n v="0.396078431372549"/>
        <n v="0.41156462585034015"/>
        <n v="0.2929782082324455"/>
        <n v="0.7766990291262136"/>
        <n v="0.6201550387596899"/>
        <n v="0.581151832460733"/>
        <n v="0.4141791044776119"/>
        <n v="1.1842105263157894"/>
        <n v="0.9278350515463918"/>
        <n v="0.48"/>
        <n v="0.5611111111111111"/>
        <n v="0.42083333333333334"/>
        <n v="1.4388489208633093"/>
        <n v="0.9891196834817013"/>
        <n v="0.8673026886383348"/>
        <n v="1.4285714285714286"/>
        <n v="0.9144947416552355"/>
        <n v="1.6604400166044002"/>
        <n v="0.27935103244837756"/>
        <n v="1.750291715285881"/>
        <n v="3.861003861003861"/>
        <n v="0.6480881399870383"/>
        <n v="1.2433944668946224"/>
        <n v="0.31857279388340237"/>
        <n v="1.4625228519195612"/>
        <n v="1.088139281828074"/>
        <n v="1.7921146953405018"/>
        <n v="0.8536064874093043"/>
        <n v="1.402524544179523"/>
        <n v="1.135718341851221"/>
        <n v="0.8496176720475785"/>
        <n v="1.597444089456869"/>
        <n v="1.2820512820512822"/>
        <n v="0.552944429084877"/>
        <n v="5.482456140350878"/>
        <n v="1.0735373054213635"/>
        <n v="1.5989036089538602"/>
        <n v="1.2395413696932136"/>
        <n v="1.1911852293031566"/>
        <n v="0.3238795518207283"/>
        <n v="0.4898068669527897"/>
        <n v="1.8770530267480057"/>
        <n v="1.3764624913971095"/>
        <n v="0.6099495313626532"/>
        <n v="0.17409470752089137"/>
        <n v="0.5561735261401557"/>
        <n v="1.455957291919437"/>
        <n v="1.0070493454179255"/>
        <n v="2.0080321285140563"/>
        <n v="1.0678056593699947"/>
        <n v="1.2795905310300704"/>
        <n v="1.5683814303638646"/>
        <n v="1.3233348037053374"/>
        <n v="1.8832391713747645"/>
        <n v="1.5748031496062993"/>
        <n v="1.3245033112582782"/>
        <n v="0.980872976949485"/>
        <n v="0.631911532385466"/>
        <n v="1.8333333333333333"/>
        <n v="0.5833333333333334"/>
        <n v="0.5384615384615384"/>
        <n v="0.35"/>
        <n v="0.3333333333333333"/>
        <n v="0.3157894736842105"/>
        <n v="0.2857142857142857"/>
        <n v="0.4117647058823529"/>
        <n v="0.875"/>
        <n v="0.7777777777777778"/>
        <n v="0.47368421052631576"/>
        <n v="0.4090909090909091"/>
        <n v="0.36"/>
        <n v="0.42857142857142855"/>
        <n v="1.0"/>
        <n v="0.19148936170212766"/>
        <n v="0.15789473684210525"/>
        <n v="0.3888888888888889"/>
        <n v="0.3684210526315789"/>
        <n v="0.5"/>
        <n v="0.16279069767441862"/>
        <n v="0.2413793103448276"/>
        <n v="0.17073170731707318"/>
        <n v="2.0526315789473686"/>
        <n v="0.5957446808510638"/>
        <n v="0.47619047619047616"/>
        <n v="0.6666666666666666"/>
        <n v="0.45454545454545453"/>
        <n v="0.5263157894736842"/>
        <n v="0.8235294117647058"/>
        <n v="0.6363636363636364"/>
        <n v="0.56"/>
        <n v="0.5405405405405406"/>
        <n v="0.7407407407407407"/>
        <n v="0.9032258064516129"/>
        <n v="0.2978723404255319"/>
        <n v="0.9090909090909091"/>
        <n v="0.5714285714285714"/>
        <n v="0.4"/>
        <n v="0.3783783783783784"/>
        <n v="0.32558139534883723"/>
        <n v="0.3111111111111111"/>
        <n v="2.0"/>
        <n v="2.7857142857142856"/>
        <n v="0.6896551724137931"/>
        <n v="0.8666666666666667"/>
        <n v="0.7692307692307693"/>
        <n v="0.28"/>
        <n v="0.2692307692307692"/>
        <n v="0.5128205128205128"/>
        <n v="0.28169014084507044"/>
        <n v="0.358974358974359"/>
        <n v="0.27450980392156865"/>
        <n v="0.2545454545454545"/>
        <n v="0.6610169491525424"/>
        <n v="0.625"/>
        <n v="1.820830298616169"/>
        <n v="2.0202020202020203"/>
        <n v="2.4617548795498507"/>
        <n v="1.4644862094215279"/>
        <n v="1.7711654268508679"/>
        <n v="1.6204537270435722"/>
        <n v="2.533569799847986"/>
        <n v="2.1634378994984758"/>
        <n v="3.223726627981947"/>
        <n v="2.8625954198473282"/>
        <n v="1.3054830287206267"/>
        <n v="1.4077071969030441"/>
        <n v="1.4077897700610043"/>
        <n v="1.025509550057685"/>
        <n v="0.9726575164811413"/>
        <n v="1.2487783689868608"/>
        <n v="1.95364532457153"/>
        <n v="1.9745285813012143"/>
        <n v="1.6441359152356594"/>
        <n v="0.9252595867173846"/>
        <n v="1.36986301369863"/>
        <n v="1.5098897780462026"/>
        <n v="1.1209505660800358"/>
        <n v="1.4086711535451557"/>
        <n v="1.3493455673998112"/>
        <n v="1.7571604287471445"/>
        <n v="1.3888888888888888"/>
        <n v="1.297016861219196"/>
        <n v="1.167250291812573"/>
        <n v="1.4239943040227838"/>
        <n v="1.3730874852883483"/>
        <n v="1.5148236312486474"/>
        <n v="3.6611749043102013"/>
        <n v="2.765158996642307"/>
        <n v="1.5324365741529031"/>
        <n v="2.1830656479026977"/>
        <n v="0.8060182697474476"/>
        <n v="7.871536523929471"/>
        <n v="1.9157088122605364"/>
        <n v="2.2031823745410035"/>
        <n v="1.491616088879745"/>
        <n v="0.9117617262688684"/>
        <n v="6.382264024185422"/>
        <n v="1.2463883066115233"/>
        <n v="1.117901326576241"/>
        <n v="11.318619128466327"/>
        <n v="5.054334091483447"/>
        <n v="5.272407732864675"/>
        <n v="4.707112970711297"/>
        <n v="4.118993135011442"/>
        <n v="48.78048780487805"/>
        <n v="2.4989587671803415"/>
        <n v="3.438243850833113"/>
        <n v="1.827782290820471"/>
        <n v="2.268760907504363"/>
        <n v="1.7361111111111112"/>
        <n v="0.8701326952360235"/>
        <n v="2.60707635009311"/>
        <n v="2.805049088359046"/>
        <n v="1.646843549862763"/>
        <n v="10.685663401602849"/>
        <n v="9.40623162845385"/>
        <n v="3.248862897985705"/>
        <n v="2.8694404591104736"/>
        <n v="3.1723651744800847"/>
        <n v="4.5264623955431755"/>
        <n v="2.7128278000258366"/>
        <n v="2.029769959404601"/>
        <n v="2.7881040892193307"/>
        <n v="0.42948717948717946"/>
        <n v="0.3975770925110132"/>
        <n v="0.4621212121212121"/>
        <n v="0.5509761388286334"/>
        <n v="0.43353293413173655"/>
        <n v="0.5348432055749129"/>
        <n v="0.5918958031837916"/>
        <n v="0.42461964038727523"/>
        <n v="0.5880077369439072"/>
        <n v="0.4699612403100775"/>
        <n v="0.38596491228070173"/>
        <n v="0.32727272727272727"/>
        <n v="0.5819209039548022"/>
        <n v="0.5077452667814114"/>
        <n v="0.4418604651162791"/>
        <n v="0.34891835310537334"/>
        <n v="0.6661367249602543"/>
        <n v="0.5456171735241503"/>
        <n v="0.6580226904376013"/>
        <n v="0.47360248447204967"/>
        <n v="0.4293139293139293"/>
        <n v="0.31525076765609006"/>
        <n v="0.2764811490125673"/>
        <n v="0.2261380323054332"/>
        <n v="0.5365853658536586"/>
        <n v="0.39285714285714285"/>
        <n v="0.41069397042093286"/>
        <n v="0.6135458167330677"/>
        <n v="0.5817923186344239"/>
        <n v="0.41847826086956524"/>
        <n v="0.4240331491712707"/>
        <n v="0.6055226824457594"/>
        <n v="0.7415458937198067"/>
        <n v="0.7911025145067698"/>
        <n v="0.26812227074235806"/>
        <n v="0.22054597701149425"/>
        <n v="0.31432973805855163"/>
        <n v="0.5446293494704992"/>
        <n v="0.8934010152284264"/>
        <n v="0.6950354609929078"/>
        <n v="0.2592905405405405"/>
        <n v="0.5041782729805014"/>
        <n v="0.3497584541062802"/>
        <n v="0.9694117647058823"/>
        <n v="0.555956678700361"/>
        <n v="0.4309859154929577"/>
        <n v="0.35498839907192575"/>
        <n v="0.3344262295081967"/>
        <n v="0.287758346581876"/>
        <n v="0.5918762088974855"/>
        <n v="0.5716945996275605"/>
        <n v="0.55"/>
        <n v="0.4483260553129549"/>
        <n v="0.26013513513513514"/>
        <n v="0.07525870178739416"/>
        <n v="0.30405405405405406"/>
        <n v="0.4425087108013937"/>
        <n v="3.7142857142857144"/>
        <n v="1.028169014084507"/>
        <n v="0.6883116883116883"/>
        <n v="0.6067961165048543"/>
        <n v="0.5882352941176471"/>
        <n v="0.6779661016949152"/>
        <n v="0.5333333333333333"/>
        <n v="0.7162162162162162"/>
        <n v="0.5063291139240507"/>
        <n v="0.8780487804878049"/>
        <n v="0.82"/>
        <n v="0.6403508771929824"/>
        <n v="0.8130081300813008"/>
        <n v="0.40816326530612246"/>
        <n v="0.5780346820809249"/>
        <n v="1.4772727272727273"/>
        <n v="1.7543859649122806"/>
        <n v="1.408450704225352"/>
        <n v="1.8309859154929577"/>
        <n v="0.6923076923076923"/>
        <n v="1.056338028169014"/>
        <n v="0.5578947368421052"/>
        <n v="0.8548387096774194"/>
        <n v="0.9125"/>
        <n v="0.75"/>
        <n v="0.9733333333333334"/>
        <n v="0.776595744680851"/>
        <n v="0.8928571428571429"/>
        <n v="0.46511627906976744"/>
        <n v="1.0138888888888888"/>
        <n v="0.41007194244604317"/>
        <n v="0.813953488372093"/>
        <n v="0.6260869565217392"/>
        <n v="0.7912087912087912"/>
        <n v="1.1363636363636365"/>
        <n v="1.06"/>
        <n v="0.9523809523809523"/>
        <n v="0.8372093023255814"/>
        <n v="0.5633802816901409"/>
        <n v="0.5172413793103449"/>
        <n v="0.6097560975609756"/>
        <n v="0.918918918918919"/>
        <n v="0.8736842105263158"/>
        <n v="0.5853658536585366"/>
        <n v="0.6625"/>
        <n v="1.6904761904761905"/>
        <n v="1.2413793103448276"/>
        <n v="0.9864864864864865"/>
        <n v="0.8902439024390244"/>
        <n v="0.896551724137931"/>
        <n v="0.8287292817679558"/>
        <n v="1.392156862745098"/>
        <n v="0.9803921568627451"/>
        <n v="0.6993006993006993"/>
      </sharedItems>
    </cacheField>
    <cacheField name="DPS/Maint" numFmtId="4">
      <sharedItems containsSemiMixedTypes="0" containsString="0" containsNumber="1">
        <n v="0.0425531914893617"/>
        <n v="0.038834951456310676"/>
        <n v="0.11570247933884298"/>
        <n v="0.05511811023622047"/>
        <n v="0.017543859649122806"/>
        <n v="0.047619047619047616"/>
        <n v="0.0196078431372549"/>
        <n v="0.02"/>
        <n v="0.02564102564102564"/>
        <n v="0.0"/>
        <n v="0.07042253521126761"/>
        <n v="0.04477611940298507"/>
        <n v="0.01990049751243781"/>
        <n v="0.08333333333333333"/>
        <n v="0.02702702702702703"/>
        <n v="0.03125"/>
        <n v="0.037037037037037035"/>
        <n v="0.09615384615384616"/>
        <n v="0.1111111111111111"/>
        <n v="0.04807692307692308"/>
        <n v="0.023696682464454975"/>
        <n v="0.02127659574468085"/>
        <n v="0.009900990099009901"/>
        <n v="0.13861386138613863"/>
        <n v="0.0430622009569378"/>
        <n v="0.06329113924050633"/>
        <n v="0.05813953488372093"/>
        <n v="0.029069767441860465"/>
        <n v="0.023809523809523808"/>
        <n v="0.018518518518518517"/>
        <n v="0.05555555555555555"/>
        <n v="0.005235602094240838"/>
        <n v="0.002583979328165375"/>
        <n v="0.005302325581395349"/>
        <n v="0.0038217054263565893"/>
        <n v="0.019230769230769232"/>
        <n v="0.0639269406392694"/>
        <n v="0.05982905982905983"/>
        <n v="0.018957345971563982"/>
        <n v="0.026455026455026454"/>
        <n v="0.012919896640826873"/>
        <n v="0.12962962962962962"/>
        <n v="0.006666666666666667"/>
        <n v="0.00912962962962963"/>
        <n v="0.015479876160990712"/>
        <n v="0.023529411764705882"/>
        <n v="0.018726591760299626"/>
        <n v="0.026041666666666668"/>
        <n v="0.019002375296912115"/>
        <n v="0.011816838995568686"/>
        <n v="0.011990407673860911"/>
        <n v="0.009578544061302681"/>
        <n v="0.034858387799564274"/>
        <n v="0.016511867905056758"/>
        <n v="0.0421455938697318"/>
        <n v="0.03076923076923077"/>
        <n v="0.024390243902439025"/>
        <n v="0.051597051597051594"/>
        <n v="0.013020833333333334"/>
        <n v="0.010395010395010396"/>
        <n v="0.042821158690176324"/>
        <n v="0.021963824289405683"/>
        <n v="0.005791505791505791"/>
        <n v="0.004576659038901602"/>
        <n v="0.0055423594615993665"/>
        <n v="0.005825242718446602"/>
        <n v="0.004489337822671156"/>
        <n v="0.05354200988467875"/>
        <n v="0.004076878276062901"/>
        <n v="0.005278592375366569"/>
        <n v="0.031065881092662024"/>
        <n v="0.010471204188481676"/>
        <n v="0.00784313725490196"/>
        <n v="0.006802721088435374"/>
        <n v="0.004842615012106538"/>
        <n v="0.007495145631067962"/>
        <n v="0.005984496124031008"/>
        <n v="0.0037313432835820895"/>
        <n v="0.01006578947368421"/>
        <n v="0.00788659793814433"/>
        <n v="0.021052631578947368"/>
        <n v="0.005555555555555556"/>
        <n v="0.004166666666666667"/>
        <n v="0.03525179856115108"/>
        <n v="0.025469831849653807"/>
        <n v="0.029054640069384217"/>
        <n v="0.029047619047619048"/>
        <n v="0.017146776406035666"/>
        <n v="0.0228310502283105"/>
        <n v="0.00943952802359882"/>
        <n v="0.021586931155192533"/>
        <n v="0.2059202059202059"/>
        <n v="0.03953337653920933"/>
        <n v="0.022381100404103203"/>
        <n v="0.03568015291494107"/>
        <n v="0.024497257769652652"/>
        <n v="0.030467899891186073"/>
        <n v="0.033154121863799284"/>
        <n v="0.03158344003414426"/>
        <n v="0.03997194950911641"/>
        <n v="0.03747870528109029"/>
        <n v="0.06032285471537808"/>
        <n v="0.04952076677316294"/>
        <n v="0.03782051282051282"/>
        <n v="0.01631186065800387"/>
        <n v="0.0712719298245614"/>
        <n v="0.035963499731615674"/>
        <n v="0.015303791685701234"/>
        <n v="0.017043693833281685"/>
        <n v="0.023823704586063133"/>
        <n v="0.025910364145658265"/>
        <n v="0.01555793991416309"/>
        <n v="0.025809479117785077"/>
        <n v="0.018926359256710254"/>
        <n v="0.02883922134102379"/>
        <n v="0.008356545961002786"/>
        <n v="0.02864293659621802"/>
        <n v="0.016258189759767047"/>
        <n v="0.015105740181268883"/>
        <n v="0.027610441767068273"/>
        <n v="0.019754404698344902"/>
        <n v="0.007677543186180422"/>
        <n v="0.002646669607410675"/>
        <n v="0.005649717514124294"/>
        <n v="0.013241785188818049"/>
        <n v="0.005687203791469194"/>
        <n v="0.6666666666666666"/>
        <n v="0.07692307692307693"/>
        <n v="0.05"/>
        <n v="0.05263157894736842"/>
        <n v="0.058823529411764705"/>
        <n v="0.125"/>
        <n v="0.045454545454545456"/>
        <n v="0.04"/>
        <n v="0.19148936170212766"/>
        <n v="0.10526315789473684"/>
        <n v="0.07142857142857142"/>
        <n v="0.046511627906976744"/>
        <n v="0.06896551724137931"/>
        <n v="0.19047619047619047"/>
        <n v="0.14634146341463414"/>
        <n v="0.2631578947368421"/>
        <n v="0.14893617021276595"/>
        <n v="0.26666666666666666"/>
        <n v="0.18181818181818182"/>
        <n v="0.21052631578947367"/>
        <n v="0.23529411764705882"/>
        <n v="0.11764705882352941"/>
        <n v="0.2"/>
        <n v="0.13513513513513514"/>
        <n v="0.18518518518518517"/>
        <n v="0.1935483870967742"/>
        <n v="0.21428571428571427"/>
        <n v="0.0851063829787234"/>
        <n v="0.15384615384615385"/>
        <n v="0.17142857142857143"/>
        <n v="0.24"/>
        <n v="0.21621621621621623"/>
        <n v="0.13953488372093023"/>
        <n v="0.17777777777777778"/>
        <n v="0.42857142857142855"/>
        <n v="0.20689655172413793"/>
        <n v="0.15789473684210525"/>
        <n v="0.14285714285714285"/>
        <n v="0.23076923076923078"/>
        <n v="0.08"/>
        <n v="0.10256410256410256"/>
        <n v="0.056338028169014086"/>
        <n v="0.15555555555555556"/>
        <n v="0.1794871794871795"/>
        <n v="0.13725490196078433"/>
        <n v="0.12727272727272726"/>
        <n v="0.11864406779661017"/>
        <n v="0.1875"/>
        <n v="0.10810810810810811"/>
        <n v="0.023185239135712552"/>
        <n v="0.03928170594837262"/>
        <n v="0.029365218920344646"/>
        <n v="0.03026604832804491"/>
        <n v="0.0563230605738576"/>
        <n v="0.03330932661145121"/>
        <n v="0.04383075753737015"/>
        <n v="0.02645294522568591"/>
        <n v="0.04642166344294004"/>
        <n v="0.027385496183206105"/>
        <n v="0.048302872062663184"/>
        <n v="0.028682034136899525"/>
        <n v="0.015798529641795712"/>
        <n v="0.024355851813870018"/>
        <n v="0.04701177996325516"/>
        <n v="0.02361819958736019"/>
        <n v="0.03889530237101501"/>
        <n v="0.03327080659492546"/>
        <n v="0.029777128242601387"/>
        <n v="0.04472088002467359"/>
        <n v="0.026027397260273973"/>
        <n v="0.06568020534500982"/>
        <n v="0.040578410492097296"/>
        <n v="0.062294568790108"/>
        <n v="0.05127513156119282"/>
        <n v="0.06677209629239149"/>
        <n v="0.05376984126984127"/>
        <n v="0.057068741893644616"/>
        <n v="0.03918625979656495"/>
        <n v="0.04823780704877181"/>
        <n v="0.04442918791683013"/>
        <n v="0.05229748250739378"/>
        <n v="0.027292394741221502"/>
        <n v="0.05036539601027059"/>
        <n v="0.022305465690447814"/>
        <n v="0.036020583190394515"/>
        <n v="0.0315690488984417"/>
        <n v="0.08879093198992444"/>
        <n v="0.029419813902572523"/>
        <n v="0.035006119951040394"/>
        <n v="0.03353564448102047"/>
        <n v="0.051362577246479586"/>
        <n v="0.09774941215989251"/>
        <n v="0.034898872585122656"/>
        <n v="0.04322551796094798"/>
        <n v="0.08488964346349745"/>
        <n v="0.0421792618629174"/>
        <n v="0.03190376569037657"/>
        <n v="0.027917620137299773"/>
        <n v="0.3867595818815331"/>
        <n v="0.038317367763431906"/>
        <n v="0.02274530547474213"/>
        <n v="0.045491470349309504"/>
        <n v="0.02600349040139616"/>
        <n v="0.037905092592592594"/>
        <n v="0.03458777463563193"/>
        <n v="0.041713221601489756"/>
        <n v="0.03611500701262272"/>
        <n v="0.033165599268069536"/>
        <n v="0.05906797269219353"/>
        <n v="0.049578679208308836"/>
        <n v="0.0539311241065627"/>
        <n v="0.0468675274988044"/>
        <n v="0.020444131124427212"/>
        <n v="0.02576601671309192"/>
        <n v="0.02803255393360031"/>
        <n v="0.037889039242219216"/>
        <n v="0.028345724907063198"/>
        <n v="0.04700854700854701"/>
        <n v="0.03524229074889868"/>
        <n v="0.04696969696969697"/>
        <n v="0.06724511930585683"/>
        <n v="0.0718562874251497"/>
        <n v="0.041811846689895474"/>
        <n v="0.03473227206946455"/>
        <n v="0.03319502074688797"/>
        <n v="0.06576402321083172"/>
        <n v="0.03294573643410853"/>
        <n v="0.040100250626566414"/>
        <n v="0.02327272727272727"/>
        <n v="0.025423728813559324"/>
        <n v="0.01549053356282272"/>
        <n v="0.028151774785801713"/>
        <n v="0.016050244242847175"/>
        <n v="0.0492845786963434"/>
        <n v="0.03199174406604747"/>
        <n v="0.028622540250447227"/>
        <n v="0.02593192868719611"/>
        <n v="0.024844720496894408"/>
        <n v="0.029106029106029108"/>
        <n v="0.032753326509723645"/>
        <n v="0.03411131059245961"/>
        <n v="0.027900146842878122"/>
        <n v="0.03182374541003672"/>
        <n v="0.03832752613240418"/>
        <n v="0.02806122448979592"/>
        <n v="0.02844141069397042"/>
        <n v="0.03187250996015936"/>
        <n v="0.02275960170697013"/>
        <n v="0.021739130434782608"/>
        <n v="0.03314917127071823"/>
        <n v="0.047337278106508875"/>
        <n v="0.057971014492753624"/>
        <n v="0.01572052401746725"/>
        <n v="0.01293103448275862"/>
        <n v="0.01386748844375963"/>
        <n v="0.039334341906202726"/>
        <n v="0.04568527918781726"/>
        <n v="0.031914893617021274"/>
        <n v="0.04560810810810811"/>
        <n v="0.023676880222841225"/>
        <n v="0.01642512077294686"/>
        <n v="0.03764705882352941"/>
        <n v="0.07220216606498195"/>
        <n v="0.030985915492957747"/>
        <n v="0.025522041763341066"/>
        <n v="0.041530054644808745"/>
        <n v="0.025437201907790145"/>
        <n v="0.07736943907156674"/>
        <n v="0.08379888268156424"/>
        <n v="0.04285714285714286"/>
        <n v="0.034934497816593885"/>
        <n v="0.07272727272727272"/>
        <n v="0.03209459459459459"/>
        <n v="0.06620209059233449"/>
        <n v="0.34285714285714286"/>
        <n v="0.16901408450704225"/>
        <n v="0.09090909090909091"/>
        <n v="0.06796116504854369"/>
        <n v="0.13559322033898305"/>
        <n v="0.07407407407407407"/>
        <n v="0.10666666666666667"/>
        <n v="0.10126582278481013"/>
        <n v="0.07317073170731707"/>
        <n v="0.12"/>
        <n v="0.0975609756097561"/>
        <n v="0.08163265306122448"/>
        <n v="0.05202312138728324"/>
        <n v="0.09"/>
        <n v="0.10227272727272728"/>
        <n v="0.12280701754385964"/>
        <n v="0.08450704225352113"/>
        <n v="0.057692307692307696"/>
        <n v="0.14736842105263157"/>
        <n v="0.0875"/>
        <n v="0.09859154929577464"/>
        <n v="0.056451612903225805"/>
        <n v="0.09333333333333334"/>
        <n v="0.07446808510638298"/>
        <n v="0.10714285714285714"/>
        <n v="0.10465116279069768"/>
        <n v="0.06474820143884892"/>
        <n v="0.1"/>
        <n v="0.08695652173913043"/>
        <n v="0.10989010989010989"/>
        <n v="0.16666666666666666"/>
        <n v="0.09302325581395349"/>
        <n v="0.11267605633802817"/>
        <n v="0.10975609756097561"/>
        <n v="0.056910569105691054"/>
        <n v="0.08771929824561403"/>
        <n v="0.2857142857142857"/>
        <n v="0.06870229007633588"/>
        <n v="0.1206896551724138"/>
        <n v="0.0945945945945946"/>
        <n v="0.08536585365853659"/>
        <n v="0.055248618784530384"/>
        <n v="0.1568627450980392"/>
        <n v="0.0784313725490196"/>
        <n v="0.097902097902097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6" sheet="Laser List"/>
  </cacheSource>
  <cacheFields>
    <cacheField name="Laser Name" numFmtId="0">
      <sharedItems>
        <s v="Impulse Ray Emitter"/>
        <s v="Particle Accelerator Cannon"/>
        <s v="Mass Driver"/>
        <s v="Alpha Particle Cannon"/>
        <s v="Plasma Gun"/>
        <s v="Phased Repeater Gun"/>
        <s v="Energy Bolt Chaingun"/>
        <s v="Pulsed Beam Emitter"/>
        <s v="Alpha Kyon Emitter"/>
        <s v="Electro-Magnetic Plasma Cannon"/>
        <s v="High Energy Plasma Thrower"/>
        <s v="Fragmentation Bomb Launcher"/>
        <s v="Ion Disruptor"/>
        <s v="Plasma Burst Generator"/>
        <s v="Phased Shockwave Generator"/>
        <s v="Gamma Ray Cannon"/>
        <s v="Matter/Anti-Matter Launcher"/>
        <s v="Ion Pulse Generator"/>
        <s v="Concussion Impulse Generator"/>
        <s v="Ion Shard Railgun"/>
        <s v="Plasma Beam Cannon"/>
        <s v="Flak Artillery Array"/>
        <s v="Cluster Flak Array"/>
        <s v="Phased Array Laser Cannon"/>
        <s v="Beta Kyon Emitter"/>
        <s v="Starburst Shockwave Cannon"/>
        <s v="Incendiary Bomb Launcher"/>
        <s v="Photon Pulse Cannon"/>
        <s v="Tri-Beam Cannon"/>
        <s v="Fusion Beam Cannon"/>
        <s v="Gauss Cannon"/>
        <s v="Photon Artillery Array"/>
        <s v="Gamma Kyon Emitter"/>
        <s v="Ion Cannon"/>
        <s v="Point Singularity Projector"/>
      </sharedItems>
    </cacheField>
    <cacheField name="Faction" numFmtId="0">
      <sharedItems>
        <s v="C"/>
        <s v="Tr"/>
        <s v="A"/>
        <s v="Td"/>
        <s v="O"/>
        <s v="P"/>
        <s v="B"/>
        <s v="S"/>
        <s v="K"/>
      </sharedItems>
    </cacheField>
    <cacheField name="Size" numFmtId="3">
      <sharedItems>
        <s v="S"/>
        <s v="M"/>
        <s v="L"/>
      </sharedItems>
    </cacheField>
    <cacheField name="Cost (Cryst.)" numFmtId="3">
      <sharedItems containsSemiMixedTypes="0" containsString="0" containsNumber="1" containsInteger="1">
        <n v="4.0"/>
        <n v="5.0"/>
        <n v="6.0"/>
        <n v="7.0"/>
        <n v="9.0"/>
        <n v="13.0"/>
        <n v="15.0"/>
        <n v="16.0"/>
        <n v="17.0"/>
        <n v="18.0"/>
        <n v="19.0"/>
        <n v="20.0"/>
        <n v="21.0"/>
        <n v="22.0"/>
        <n v="23.0"/>
        <n v="26.0"/>
        <n v="27.0"/>
        <n v="32.0"/>
        <n v="37.0"/>
        <n v="38.0"/>
        <n v="30.0"/>
        <n v="34.0"/>
        <n v="41.0"/>
        <n v="46.0"/>
        <n v="49.0"/>
        <n v="60.0"/>
        <n v="74.0"/>
        <n v="81.0"/>
        <n v="106.0"/>
      </sharedItems>
    </cacheField>
    <cacheField name="Hull DPS" numFmtId="3">
      <sharedItems containsSemiMixedTypes="0" containsString="0" containsNumber="1" containsInteger="1">
        <n v="226.0"/>
        <n v="684.0"/>
        <n v="617.0"/>
        <n v="745.0"/>
        <n v="407.0"/>
        <n v="386.0"/>
        <n v="382.0"/>
        <n v="1320.0"/>
        <n v="508.0"/>
        <n v="609.0"/>
        <n v="516.0"/>
        <n v="503.0"/>
        <n v="375.0"/>
        <n v="608.0"/>
        <n v="756.0"/>
        <n v="528.0"/>
        <n v="747.0"/>
        <n v="839.0"/>
        <n v="1262.0"/>
        <n v="1039.0"/>
        <n v="2702.0"/>
        <n v="1239.0"/>
        <n v="1590.0"/>
        <n v="1507.0"/>
        <n v="858.0"/>
        <n v="1514.0"/>
        <n v="2168.0"/>
        <n v="2224.0"/>
        <n v="3069.0"/>
        <n v="3874.0"/>
        <n v="3922.0"/>
        <n v="4022.0"/>
        <n v="4706.0"/>
        <n v="4065.0"/>
        <n v="7782.0"/>
      </sharedItems>
    </cacheField>
    <cacheField name="Shield DPS" numFmtId="3">
      <sharedItems containsSemiMixedTypes="0" containsString="0" containsNumber="1" containsInteger="1">
        <n v="679.0"/>
        <n v="228.0"/>
        <n v="370.0"/>
        <n v="248.0"/>
        <n v="1223.0"/>
        <n v="1158.0"/>
        <n v="1149.0"/>
        <n v="440.0"/>
        <n v="1016.0"/>
        <n v="1830.0"/>
        <n v="1550.0"/>
        <n v="1509.0"/>
        <n v="1687.0"/>
        <n v="1825.0"/>
        <n v="1965.0"/>
        <n v="1373.0"/>
        <n v="1941.0"/>
        <n v="2518.0"/>
        <n v="2526.0"/>
        <n v="4054.0"/>
        <n v="5404.0"/>
        <n v="3221.0"/>
        <n v="4135.0"/>
        <n v="3902.0"/>
        <n v="1716.0"/>
        <n v="3937.0"/>
        <n v="3845.0"/>
        <n v="3945.0"/>
        <n v="5103.0"/>
        <n v="4122.0"/>
        <n v="5216.0"/>
        <n v="5349.0"/>
        <n v="4706.0"/>
        <n v="8108.0"/>
        <n v="10350.0"/>
      </sharedItems>
    </cacheField>
    <cacheField name="DPS" numFmtId="4">
      <sharedItems containsSemiMixedTypes="0" containsString="0" containsNumber="1">
        <n v="452.5"/>
        <n v="456.0"/>
        <n v="493.5"/>
        <n v="496.5"/>
        <n v="815.0"/>
        <n v="772.0"/>
        <n v="765.5"/>
        <n v="880.0"/>
        <n v="762.0"/>
        <n v="1219.5"/>
        <n v="1033.0"/>
        <n v="1006.0"/>
        <n v="1031.0"/>
        <n v="1216.5"/>
        <n v="1360.5"/>
        <n v="950.5"/>
        <n v="1344.0"/>
        <n v="1678.5"/>
        <n v="1894.0"/>
        <n v="2546.5"/>
        <n v="4053.0"/>
        <n v="2230.0"/>
        <n v="2862.5"/>
        <n v="2704.5"/>
        <n v="1287.0"/>
        <n v="2725.5"/>
        <n v="3006.5"/>
        <n v="3084.5"/>
        <n v="4086.0"/>
        <n v="3998.0"/>
        <n v="4569.0"/>
        <n v="4685.5"/>
        <n v="4706.0"/>
        <n v="6086.5"/>
        <n v="9066.0"/>
      </sharedItems>
    </cacheField>
    <cacheField name="H/S ratio" numFmtId="4">
      <sharedItems containsSemiMixedTypes="0" containsString="0" containsNumber="1">
        <n v="0.3328424153166421"/>
        <n v="3.0"/>
        <n v="1.6675675675675676"/>
        <n v="3.004032258064516"/>
        <n v="0.3327882256745707"/>
        <n v="0.3333333333333333"/>
        <n v="0.33246301131418626"/>
        <n v="0.5"/>
        <n v="0.33278688524590166"/>
        <n v="0.3329032258064516"/>
        <n v="0.22228808535862477"/>
        <n v="0.33315068493150685"/>
        <n v="0.3847328244274809"/>
        <n v="0.38455935906773486"/>
        <n v="0.3848531684698609"/>
        <n v="0.33320095313741066"/>
        <n v="0.4996041171813143"/>
        <n v="0.2562900838677849"/>
        <n v="0.38466314809065505"/>
        <n v="0.3845223700120919"/>
        <n v="0.3862121988723731"/>
        <n v="0.3845567691135382"/>
        <n v="0.5638491547464239"/>
        <n v="0.5637515842839037"/>
        <n v="0.6014109347442681"/>
        <n v="0.9398350315380883"/>
        <n v="0.7519171779141104"/>
        <n v="0.7519162460272948"/>
        <n v="1.0"/>
        <n v="0.5013566847557968"/>
        <n v="0.7518840579710145"/>
      </sharedItems>
    </cacheField>
    <cacheField name="RoF (/m)" numFmtId="0">
      <sharedItems containsSemiMixedTypes="0" containsString="0" containsNumber="1" containsInteger="1">
        <n v="30.0"/>
        <n v="15.0"/>
        <n v="21.0"/>
        <n v="34.0"/>
        <n v="27.0"/>
        <n v="19.0"/>
        <n v="39.0"/>
        <n v="25.0"/>
        <n v="16.0"/>
        <n v="13.0"/>
        <n v="18.0"/>
        <n v="10.0"/>
        <n v="12.0"/>
        <n v="4.0"/>
        <n v="89.0"/>
        <n v="75.0"/>
        <n v="60.0"/>
        <n v="43.0"/>
        <n v="3.0"/>
        <n v="55.0"/>
      </sharedItems>
    </cacheField>
    <cacheField name="Range (km)" numFmtId="4">
      <sharedItems containsSemiMixedTypes="0" containsString="0" containsNumber="1">
        <n v="6.76"/>
        <n v="5.94"/>
        <n v="4.0"/>
        <n v="5.0"/>
        <n v="4.6"/>
        <n v="3.9"/>
        <n v="4.5"/>
        <n v="3.45"/>
        <n v="3.8"/>
        <n v="4.05"/>
        <n v="5.8"/>
        <n v="5.4"/>
        <n v="5.2"/>
        <n v="5.55"/>
        <n v="5.6"/>
        <n v="6.0"/>
        <n v="18.2"/>
        <n v="19.25"/>
        <n v="17.5"/>
        <n v="19.95"/>
        <n v="21.0"/>
        <n v="16.75"/>
        <n v="16.8"/>
        <n v="20.1"/>
        <n v="21.7"/>
      </sharedItems>
    </cacheField>
    <cacheField name="Speed (km/s)" numFmtId="165">
      <sharedItems containsSemiMixedTypes="0" containsString="0" containsNumber="1">
        <n v="2.6"/>
        <n v="2.2"/>
        <n v="2.5"/>
        <n v="2.0"/>
        <n v="1.5"/>
        <n v="1.0"/>
        <n v="0.5"/>
        <n v="6.0"/>
        <n v="3.5"/>
        <n v="3.0"/>
      </sharedItems>
    </cacheField>
    <cacheField name="HDPS/Cost" numFmtId="4">
      <sharedItems containsSemiMixedTypes="0" containsString="0" containsNumber="1">
        <n v="56.5"/>
        <n v="171.0"/>
        <n v="123.4"/>
        <n v="149.0"/>
        <n v="81.4"/>
        <n v="64.33333333333333"/>
        <n v="54.57142857142857"/>
        <n v="146.66666666666666"/>
        <n v="39.07692307692308"/>
        <n v="40.6"/>
        <n v="32.25"/>
        <n v="29.58823529411765"/>
        <n v="20.833333333333332"/>
        <n v="32.0"/>
        <n v="37.8"/>
        <n v="25.142857142857142"/>
        <n v="33.95454545454545"/>
        <n v="36.47826086956522"/>
        <n v="54.869565217391305"/>
        <n v="39.96153846153846"/>
        <n v="100.07407407407408"/>
        <n v="45.888888888888886"/>
        <n v="49.6875"/>
        <n v="40.729729729729726"/>
        <n v="23.18918918918919"/>
        <n v="39.8421052631579"/>
        <n v="72.26666666666667"/>
        <n v="65.41176470588235"/>
        <n v="74.85365853658537"/>
        <n v="84.21739130434783"/>
        <n v="80.04081632653062"/>
        <n v="67.03333333333333"/>
        <n v="63.5945945945946"/>
        <n v="50.18518518518518"/>
        <n v="73.41509433962264"/>
      </sharedItems>
    </cacheField>
    <cacheField name="SDPS/Cost" numFmtId="4">
      <sharedItems containsSemiMixedTypes="0" containsString="0" containsNumber="1">
        <n v="169.75"/>
        <n v="57.0"/>
        <n v="74.0"/>
        <n v="49.6"/>
        <n v="244.6"/>
        <n v="193.0"/>
        <n v="164.14285714285714"/>
        <n v="48.888888888888886"/>
        <n v="78.15384615384616"/>
        <n v="122.0"/>
        <n v="96.875"/>
        <n v="88.76470588235294"/>
        <n v="93.72222222222223"/>
        <n v="96.05263157894737"/>
        <n v="98.25"/>
        <n v="65.38095238095238"/>
        <n v="88.22727272727273"/>
        <n v="109.47826086956522"/>
        <n v="109.82608695652173"/>
        <n v="155.92307692307693"/>
        <n v="200.14814814814815"/>
        <n v="119.29629629629629"/>
        <n v="129.21875"/>
        <n v="105.45945945945945"/>
        <n v="46.37837837837838"/>
        <n v="103.60526315789474"/>
        <n v="128.16666666666666"/>
        <n v="116.02941176470588"/>
        <n v="124.46341463414635"/>
        <n v="89.6086956521739"/>
        <n v="106.44897959183673"/>
        <n v="89.15"/>
        <n v="63.5945945945946"/>
        <n v="100.09876543209876"/>
        <n v="97.6415094339622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Ship Stats" cacheId="0" dataCaption="" rowGrandTotals="0" compact="0" compactData="0">
  <location ref="A1:Q72" firstHeaderRow="0" firstDataRow="4" firstDataCol="0"/>
  <pivotFields>
    <pivotField name="Name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</items>
      <autoSortScope>
        <pivotArea>
          <references>
            <reference field="4294967294">
              <x v="4"/>
            </reference>
          </references>
        </pivotArea>
      </autoSortScope>
    </pivotField>
    <pivotField name="Class" axis="axisRow" compact="0" outline="0" multipleItemSelectionAllowed="1" showAll="0" sortType="ascending">
      <items>
        <item h="1" x="11"/>
        <item h="1" x="10"/>
        <item h="1" x="13"/>
        <item h="1" x="9"/>
        <item h="1" x="8"/>
        <item x="12"/>
        <item x="5"/>
        <item h="1" x="6"/>
        <item h="1" x="7"/>
        <item h="1" x="4"/>
        <item h="1" x="3"/>
        <item h="1" x="2"/>
        <item h="1" x="1"/>
        <item h="1" x="0"/>
        <item t="default"/>
      </items>
    </pivotField>
    <pivotField name="Faction" axis="axisRow" compact="0" outline="0" multipleItemSelectionAllowed="1" showAll="0" sortType="ascending" defaultSubtotal="0">
      <items>
        <item x="5"/>
        <item x="3"/>
        <item x="9"/>
        <item h="1" x="11"/>
        <item h="1" x="10"/>
        <item x="2"/>
        <item h="1" x="6"/>
        <item x="1"/>
        <item x="7"/>
        <item x="0"/>
        <item h="1" x="4"/>
        <item x="8"/>
      </items>
    </pivotField>
    <pivotField name="Hull Pl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t="default"/>
      </items>
    </pivotField>
    <pivotField name="Cryst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Computer Compon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Quantum Tub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name="P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upp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Maintenance (cr/cyc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Speed (m/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name="Cargo Siz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Shield (k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Generator (MW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Hull (k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Turret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u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efault" compact="0" outline="0" multipleItemSelectionAllowed="1" showAll="0">
      <items>
        <item x="0"/>
        <item t="default"/>
      </items>
    </pivotField>
    <pivotField name="DPS (k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Ag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Docking 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ocking 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/H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S+H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S/Crys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name="H/Crys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DPS/Crys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S/Suppl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H/Suppl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DPS/Suppl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ame="S/Po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H/Po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DPS/Po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S/Mai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H/Mai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DPS/Mai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</pivotFields>
  <rowFields>
    <field x="0"/>
    <field x="2"/>
    <field x="1"/>
  </rowFields>
  <colFields>
    <field x="-2"/>
  </colFields>
  <dataFields>
    <dataField name="MAX of Crystals" fld="4" subtotal="max" baseField="0"/>
    <dataField name="MAX of Speed (m/s)" fld="10" subtotal="max" baseField="0"/>
    <dataField name="MAX of Shield (k)" fld="13" subtotal="max" baseField="0"/>
    <dataField name="MAX of Hull (k)" fld="15" subtotal="max" baseField="0"/>
    <dataField name="MAX of S/H" fld="23" subtotal="max" baseField="0"/>
    <dataField name="MAX of S+H" fld="24" subtotal="max" baseField="0"/>
    <dataField name="MAX of DPS (k)" fld="19" subtotal="max" baseField="0"/>
    <dataField name="MAX of Guns" fld="17" subtotal="max" baseField="0"/>
    <dataField name="MAX of S/Cryst" fld="25" subtotal="max" baseField="0"/>
    <dataField name="MAX of H/Cryst" fld="26" subtotal="max" baseField="0"/>
    <dataField name="MAX of DPS/Cryst" fld="27" subtotal="max" baseField="0"/>
    <dataField name="MAX of S/Pop" fld="31" subtotal="max" baseField="0"/>
    <dataField name="MAX of H/Pop" fld="32" subtotal="max" baseField="0"/>
    <dataField name="MAX of DPS/Pop" fld="33" subtotal="max" baseField="0"/>
  </dataFields>
</pivotTableDefinition>
</file>

<file path=xl/pivotTables/pivotTable2.xml><?xml version="1.0" encoding="utf-8"?>
<pivotTableDefinition xmlns="http://schemas.openxmlformats.org/spreadsheetml/2006/main" name="Pivot Table Laser Stats" cacheId="1" dataCaption="" rowGrandTotals="0" compact="0" compactData="0">
  <location ref="A3:K34" firstHeaderRow="0" firstDataRow="3" firstDataCol="0" rowPageCount="1" colPageCount="1"/>
  <pivotFields>
    <pivotField name="Laser Name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Faction" axis="axisRow" compact="0" outline="0" multipleItemSelectionAllowed="1" showAll="0" sortType="ascending">
      <items>
        <item x="2"/>
        <item x="6"/>
        <item x="0"/>
        <item h="1" x="8"/>
        <item h="1" x="4"/>
        <item x="5"/>
        <item x="7"/>
        <item x="3"/>
        <item x="1"/>
        <item t="default"/>
      </items>
    </pivotField>
    <pivotField name="Size" axis="axisPage" compact="0" numFmtId="3" outline="0" multipleItemSelectionAllowed="1" showAll="0">
      <items>
        <item x="0"/>
        <item x="1"/>
        <item x="2"/>
        <item t="default"/>
      </items>
    </pivotField>
    <pivotField name="Cost (Cryst.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Hull DP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hield DP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P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H/S rati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oF (/m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ange (km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peed (km/s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DPS/Cos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DPS/Cos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0"/>
    <field x="1"/>
  </rowFields>
  <colFields>
    <field x="-2"/>
  </colFields>
  <pageFields>
    <pageField fld="2"/>
  </pageFields>
  <dataFields>
    <dataField name="AVERAGE of Cost (Cryst.)" fld="3" subtotal="average" baseField="0"/>
    <dataField name="SUM of Hull DPS" fld="4" baseField="0"/>
    <dataField name="SUM of Shield DPS" fld="5" baseField="0"/>
    <dataField name="SUM of H/S ratio" fld="7" baseField="0"/>
    <dataField name="SUM of RoF (/m)" fld="8" baseField="0"/>
    <dataField name="SUM of Range (km)" fld="9" baseField="0"/>
    <dataField name="SUM of Speed (km/s)" fld="10" baseField="0"/>
    <dataField name="SUM of HDPS/Cost" fld="11" baseField="0"/>
    <dataField name="SUM of SDPS/Cost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Gvk6ep9NKC8nDeF0JRwkUZIrjFGmJz5nOSrbyPCkKQ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5.63"/>
  </cols>
  <sheetData>
    <row r="1">
      <c r="A1" s="1" t="s">
        <v>0</v>
      </c>
      <c r="B1" s="2">
        <v>46081.0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4">
      <c r="A4" s="1" t="s">
        <v>5</v>
      </c>
    </row>
    <row r="5">
      <c r="A5" s="1" t="s">
        <v>6</v>
      </c>
    </row>
    <row r="6">
      <c r="A6" s="1" t="s">
        <v>7</v>
      </c>
    </row>
    <row r="7">
      <c r="A7" s="1" t="s">
        <v>8</v>
      </c>
    </row>
    <row r="8">
      <c r="A8" s="3" t="s">
        <v>9</v>
      </c>
    </row>
  </sheetData>
  <hyperlinks>
    <hyperlink r:id="rId1" ref="A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4" t="s">
        <v>35</v>
      </c>
      <c r="AA1" s="4" t="s">
        <v>36</v>
      </c>
      <c r="AB1" s="4" t="s">
        <v>37</v>
      </c>
      <c r="AC1" s="4" t="s">
        <v>38</v>
      </c>
      <c r="AD1" s="4" t="s">
        <v>39</v>
      </c>
      <c r="AE1" s="4" t="s">
        <v>40</v>
      </c>
      <c r="AF1" s="4" t="s">
        <v>41</v>
      </c>
      <c r="AG1" s="4" t="s">
        <v>42</v>
      </c>
      <c r="AH1" s="4" t="s">
        <v>43</v>
      </c>
      <c r="AI1" s="4" t="s">
        <v>44</v>
      </c>
      <c r="AJ1" s="4" t="s">
        <v>45</v>
      </c>
      <c r="AK1" s="4" t="s">
        <v>46</v>
      </c>
    </row>
    <row r="2">
      <c r="A2" s="4" t="s">
        <v>47</v>
      </c>
      <c r="B2" s="4" t="s">
        <v>48</v>
      </c>
      <c r="C2" s="4" t="s">
        <v>49</v>
      </c>
      <c r="D2" s="6">
        <v>151.0</v>
      </c>
      <c r="E2" s="6">
        <v>35.0</v>
      </c>
      <c r="F2" s="6">
        <v>35.0</v>
      </c>
      <c r="G2" s="6">
        <v>151.0</v>
      </c>
      <c r="H2" s="6">
        <v>1.0</v>
      </c>
      <c r="I2" s="6">
        <v>6.0</v>
      </c>
      <c r="J2" s="6">
        <v>94.0</v>
      </c>
      <c r="K2" s="6">
        <v>160.0</v>
      </c>
      <c r="L2" s="4" t="s">
        <v>50</v>
      </c>
      <c r="M2" s="6">
        <v>27000.0</v>
      </c>
      <c r="N2" s="6">
        <v>800.0</v>
      </c>
      <c r="O2" s="6">
        <v>1155.0</v>
      </c>
      <c r="P2" s="6">
        <v>203.0</v>
      </c>
      <c r="Q2" s="6">
        <v>1.0</v>
      </c>
      <c r="R2" s="6">
        <v>4.0</v>
      </c>
      <c r="S2" s="7"/>
      <c r="T2" s="6">
        <v>4.0</v>
      </c>
      <c r="U2" s="6">
        <v>281.0</v>
      </c>
      <c r="V2" s="7"/>
      <c r="W2" s="7"/>
      <c r="X2" s="8">
        <f t="shared" ref="X2:X412" si="1">N2/P2</f>
        <v>3.9408867</v>
      </c>
      <c r="Y2" s="9">
        <f t="shared" ref="Y2:Y412" si="2">N2+P2</f>
        <v>1003</v>
      </c>
      <c r="Z2" s="8">
        <f t="shared" ref="Z2:Z412" si="3">$N2/$E2</f>
        <v>22.85714286</v>
      </c>
      <c r="AA2" s="8">
        <f t="shared" ref="AA2:AA412" si="4">$P2/$E2</f>
        <v>5.8</v>
      </c>
      <c r="AB2" s="8">
        <f t="shared" ref="AB2:AB412" si="5">$T2/$E2</f>
        <v>0.1142857143</v>
      </c>
      <c r="AC2" s="8">
        <f t="shared" ref="AC2:AC412" si="6">$N2/$I2</f>
        <v>133.3333333</v>
      </c>
      <c r="AD2" s="8">
        <f t="shared" ref="AD2:AD412" si="7">$P2/$I2</f>
        <v>33.83333333</v>
      </c>
      <c r="AE2" s="8">
        <f t="shared" ref="AE2:AE412" si="8">$T2/$I2</f>
        <v>0.6666666667</v>
      </c>
      <c r="AF2" s="8">
        <f t="shared" ref="AF2:AF412" si="9">$N2/$H2</f>
        <v>800</v>
      </c>
      <c r="AG2" s="8">
        <f t="shared" ref="AG2:AG412" si="10">$P2/$H2</f>
        <v>203</v>
      </c>
      <c r="AH2" s="8">
        <f t="shared" ref="AH2:AH412" si="11">$T2/$H2</f>
        <v>4</v>
      </c>
      <c r="AI2" s="10">
        <f t="shared" ref="AI2:AI412" si="12">$N2/$J2</f>
        <v>8.510638298</v>
      </c>
      <c r="AJ2" s="11">
        <f t="shared" ref="AJ2:AJ412" si="13">$P2/$J2</f>
        <v>2.159574468</v>
      </c>
      <c r="AK2" s="12">
        <f t="shared" ref="AK2:AK412" si="14">$T2/$J2</f>
        <v>0.04255319149</v>
      </c>
    </row>
    <row r="3">
      <c r="A3" s="4" t="s">
        <v>51</v>
      </c>
      <c r="B3" s="4" t="s">
        <v>48</v>
      </c>
      <c r="C3" s="4" t="s">
        <v>49</v>
      </c>
      <c r="D3" s="6">
        <v>165.0</v>
      </c>
      <c r="E3" s="6">
        <v>39.0</v>
      </c>
      <c r="F3" s="6">
        <v>39.0</v>
      </c>
      <c r="G3" s="6">
        <v>165.0</v>
      </c>
      <c r="H3" s="6">
        <v>1.0</v>
      </c>
      <c r="I3" s="6">
        <v>7.0</v>
      </c>
      <c r="J3" s="6">
        <v>103.0</v>
      </c>
      <c r="K3" s="6">
        <v>160.0</v>
      </c>
      <c r="L3" s="4" t="s">
        <v>50</v>
      </c>
      <c r="M3" s="6">
        <v>36000.0</v>
      </c>
      <c r="N3" s="6">
        <v>800.0</v>
      </c>
      <c r="O3" s="6">
        <v>1155.0</v>
      </c>
      <c r="P3" s="6">
        <v>203.0</v>
      </c>
      <c r="Q3" s="6">
        <v>1.0</v>
      </c>
      <c r="R3" s="6">
        <v>4.0</v>
      </c>
      <c r="S3" s="7"/>
      <c r="T3" s="6">
        <v>4.0</v>
      </c>
      <c r="U3" s="6">
        <v>281.0</v>
      </c>
      <c r="V3" s="7"/>
      <c r="W3" s="7"/>
      <c r="X3" s="8">
        <f t="shared" si="1"/>
        <v>3.9408867</v>
      </c>
      <c r="Y3" s="9">
        <f t="shared" si="2"/>
        <v>1003</v>
      </c>
      <c r="Z3" s="8">
        <f t="shared" si="3"/>
        <v>20.51282051</v>
      </c>
      <c r="AA3" s="8">
        <f t="shared" si="4"/>
        <v>5.205128205</v>
      </c>
      <c r="AB3" s="8">
        <f t="shared" si="5"/>
        <v>0.1025641026</v>
      </c>
      <c r="AC3" s="8">
        <f t="shared" si="6"/>
        <v>114.2857143</v>
      </c>
      <c r="AD3" s="8">
        <f t="shared" si="7"/>
        <v>29</v>
      </c>
      <c r="AE3" s="8">
        <f t="shared" si="8"/>
        <v>0.5714285714</v>
      </c>
      <c r="AF3" s="8">
        <f t="shared" si="9"/>
        <v>800</v>
      </c>
      <c r="AG3" s="8">
        <f t="shared" si="10"/>
        <v>203</v>
      </c>
      <c r="AH3" s="8">
        <f t="shared" si="11"/>
        <v>4</v>
      </c>
      <c r="AI3" s="10">
        <f t="shared" si="12"/>
        <v>7.766990291</v>
      </c>
      <c r="AJ3" s="11">
        <f t="shared" si="13"/>
        <v>1.970873786</v>
      </c>
      <c r="AK3" s="12">
        <f t="shared" si="14"/>
        <v>0.03883495146</v>
      </c>
    </row>
    <row r="4">
      <c r="A4" s="4" t="s">
        <v>52</v>
      </c>
      <c r="B4" s="4" t="s">
        <v>48</v>
      </c>
      <c r="C4" s="4" t="s">
        <v>49</v>
      </c>
      <c r="D4" s="6">
        <v>151.0</v>
      </c>
      <c r="E4" s="6">
        <v>35.0</v>
      </c>
      <c r="F4" s="6">
        <v>35.0</v>
      </c>
      <c r="G4" s="6">
        <v>151.0</v>
      </c>
      <c r="H4" s="6">
        <v>1.0</v>
      </c>
      <c r="I4" s="6">
        <v>6.0</v>
      </c>
      <c r="J4" s="6">
        <v>94.0</v>
      </c>
      <c r="K4" s="6">
        <v>160.0</v>
      </c>
      <c r="L4" s="4" t="s">
        <v>50</v>
      </c>
      <c r="M4" s="6">
        <v>13000.0</v>
      </c>
      <c r="N4" s="6">
        <v>800.0</v>
      </c>
      <c r="O4" s="6">
        <v>1155.0</v>
      </c>
      <c r="P4" s="6">
        <v>203.0</v>
      </c>
      <c r="Q4" s="6">
        <v>1.0</v>
      </c>
      <c r="R4" s="6">
        <v>8.0</v>
      </c>
      <c r="S4" s="7"/>
      <c r="T4" s="6">
        <v>4.0</v>
      </c>
      <c r="U4" s="6">
        <v>281.0</v>
      </c>
      <c r="V4" s="7"/>
      <c r="W4" s="7"/>
      <c r="X4" s="8">
        <f t="shared" si="1"/>
        <v>3.9408867</v>
      </c>
      <c r="Y4" s="9">
        <f t="shared" si="2"/>
        <v>1003</v>
      </c>
      <c r="Z4" s="8">
        <f t="shared" si="3"/>
        <v>22.85714286</v>
      </c>
      <c r="AA4" s="8">
        <f t="shared" si="4"/>
        <v>5.8</v>
      </c>
      <c r="AB4" s="8">
        <f t="shared" si="5"/>
        <v>0.1142857143</v>
      </c>
      <c r="AC4" s="8">
        <f t="shared" si="6"/>
        <v>133.3333333</v>
      </c>
      <c r="AD4" s="8">
        <f t="shared" si="7"/>
        <v>33.83333333</v>
      </c>
      <c r="AE4" s="8">
        <f t="shared" si="8"/>
        <v>0.6666666667</v>
      </c>
      <c r="AF4" s="8">
        <f t="shared" si="9"/>
        <v>800</v>
      </c>
      <c r="AG4" s="8">
        <f t="shared" si="10"/>
        <v>203</v>
      </c>
      <c r="AH4" s="8">
        <f t="shared" si="11"/>
        <v>4</v>
      </c>
      <c r="AI4" s="10">
        <f t="shared" si="12"/>
        <v>8.510638298</v>
      </c>
      <c r="AJ4" s="11">
        <f t="shared" si="13"/>
        <v>2.159574468</v>
      </c>
      <c r="AK4" s="12">
        <f t="shared" si="14"/>
        <v>0.04255319149</v>
      </c>
    </row>
    <row r="5">
      <c r="A5" s="4" t="s">
        <v>53</v>
      </c>
      <c r="B5" s="4" t="s">
        <v>48</v>
      </c>
      <c r="C5" s="4" t="s">
        <v>49</v>
      </c>
      <c r="D5" s="6">
        <v>194.0</v>
      </c>
      <c r="E5" s="6">
        <v>45.0</v>
      </c>
      <c r="F5" s="6">
        <v>45.0</v>
      </c>
      <c r="G5" s="6">
        <v>194.0</v>
      </c>
      <c r="H5" s="6">
        <v>3.0</v>
      </c>
      <c r="I5" s="6">
        <v>8.0</v>
      </c>
      <c r="J5" s="6">
        <v>121.0</v>
      </c>
      <c r="K5" s="6">
        <v>174.0</v>
      </c>
      <c r="L5" s="4" t="s">
        <v>50</v>
      </c>
      <c r="M5" s="6">
        <v>45000.0</v>
      </c>
      <c r="N5" s="6">
        <v>1600.0</v>
      </c>
      <c r="O5" s="6">
        <v>1770.0</v>
      </c>
      <c r="P5" s="6">
        <v>308.0</v>
      </c>
      <c r="Q5" s="6">
        <v>3.0</v>
      </c>
      <c r="R5" s="6">
        <v>12.0</v>
      </c>
      <c r="S5" s="7"/>
      <c r="T5" s="6">
        <v>14.0</v>
      </c>
      <c r="U5" s="6">
        <v>281.0</v>
      </c>
      <c r="V5" s="7"/>
      <c r="W5" s="7"/>
      <c r="X5" s="8">
        <f t="shared" si="1"/>
        <v>5.194805195</v>
      </c>
      <c r="Y5" s="9">
        <f t="shared" si="2"/>
        <v>1908</v>
      </c>
      <c r="Z5" s="8">
        <f t="shared" si="3"/>
        <v>35.55555556</v>
      </c>
      <c r="AA5" s="8">
        <f t="shared" si="4"/>
        <v>6.844444444</v>
      </c>
      <c r="AB5" s="8">
        <f t="shared" si="5"/>
        <v>0.3111111111</v>
      </c>
      <c r="AC5" s="8">
        <f t="shared" si="6"/>
        <v>200</v>
      </c>
      <c r="AD5" s="8">
        <f t="shared" si="7"/>
        <v>38.5</v>
      </c>
      <c r="AE5" s="8">
        <f t="shared" si="8"/>
        <v>1.75</v>
      </c>
      <c r="AF5" s="8">
        <f t="shared" si="9"/>
        <v>533.3333333</v>
      </c>
      <c r="AG5" s="8">
        <f t="shared" si="10"/>
        <v>102.6666667</v>
      </c>
      <c r="AH5" s="8">
        <f t="shared" si="11"/>
        <v>4.666666667</v>
      </c>
      <c r="AI5" s="10">
        <f t="shared" si="12"/>
        <v>13.2231405</v>
      </c>
      <c r="AJ5" s="11">
        <f t="shared" si="13"/>
        <v>2.545454545</v>
      </c>
      <c r="AK5" s="12">
        <f t="shared" si="14"/>
        <v>0.1157024793</v>
      </c>
    </row>
    <row r="6">
      <c r="A6" s="4" t="s">
        <v>54</v>
      </c>
      <c r="B6" s="4" t="s">
        <v>48</v>
      </c>
      <c r="C6" s="4" t="s">
        <v>49</v>
      </c>
      <c r="D6" s="6">
        <v>297.0</v>
      </c>
      <c r="E6" s="6">
        <v>69.0</v>
      </c>
      <c r="F6" s="6">
        <v>69.0</v>
      </c>
      <c r="G6" s="6">
        <v>297.0</v>
      </c>
      <c r="H6" s="6">
        <v>2.0</v>
      </c>
      <c r="I6" s="6">
        <v>13.0</v>
      </c>
      <c r="J6" s="6">
        <v>254.0</v>
      </c>
      <c r="K6" s="6">
        <v>195.0</v>
      </c>
      <c r="L6" s="4" t="s">
        <v>50</v>
      </c>
      <c r="M6" s="6">
        <v>45000.0</v>
      </c>
      <c r="N6" s="6">
        <v>2000.0</v>
      </c>
      <c r="O6" s="6">
        <v>1770.0</v>
      </c>
      <c r="P6" s="6">
        <v>500.0</v>
      </c>
      <c r="Q6" s="6">
        <v>3.0</v>
      </c>
      <c r="R6" s="6">
        <v>12.0</v>
      </c>
      <c r="S6" s="7"/>
      <c r="T6" s="6">
        <v>14.0</v>
      </c>
      <c r="U6" s="6">
        <v>281.0</v>
      </c>
      <c r="V6" s="7"/>
      <c r="W6" s="7"/>
      <c r="X6" s="8">
        <f t="shared" si="1"/>
        <v>4</v>
      </c>
      <c r="Y6" s="9">
        <f t="shared" si="2"/>
        <v>2500</v>
      </c>
      <c r="Z6" s="8">
        <f t="shared" si="3"/>
        <v>28.98550725</v>
      </c>
      <c r="AA6" s="8">
        <f t="shared" si="4"/>
        <v>7.246376812</v>
      </c>
      <c r="AB6" s="8">
        <f t="shared" si="5"/>
        <v>0.2028985507</v>
      </c>
      <c r="AC6" s="8">
        <f t="shared" si="6"/>
        <v>153.8461538</v>
      </c>
      <c r="AD6" s="8">
        <f t="shared" si="7"/>
        <v>38.46153846</v>
      </c>
      <c r="AE6" s="8">
        <f t="shared" si="8"/>
        <v>1.076923077</v>
      </c>
      <c r="AF6" s="8">
        <f t="shared" si="9"/>
        <v>1000</v>
      </c>
      <c r="AG6" s="8">
        <f t="shared" si="10"/>
        <v>250</v>
      </c>
      <c r="AH6" s="8">
        <f t="shared" si="11"/>
        <v>7</v>
      </c>
      <c r="AI6" s="10">
        <f t="shared" si="12"/>
        <v>7.874015748</v>
      </c>
      <c r="AJ6" s="11">
        <f t="shared" si="13"/>
        <v>1.968503937</v>
      </c>
      <c r="AK6" s="12">
        <f t="shared" si="14"/>
        <v>0.05511811024</v>
      </c>
    </row>
    <row r="7">
      <c r="A7" s="4" t="s">
        <v>55</v>
      </c>
      <c r="B7" s="4" t="s">
        <v>48</v>
      </c>
      <c r="C7" s="4" t="s">
        <v>56</v>
      </c>
      <c r="D7" s="6">
        <v>88.0</v>
      </c>
      <c r="E7" s="6">
        <v>20.0</v>
      </c>
      <c r="F7" s="6">
        <v>20.0</v>
      </c>
      <c r="G7" s="6">
        <v>88.0</v>
      </c>
      <c r="H7" s="6">
        <v>1.0</v>
      </c>
      <c r="I7" s="6">
        <v>4.0</v>
      </c>
      <c r="J7" s="6">
        <v>57.0</v>
      </c>
      <c r="K7" s="6">
        <v>158.0</v>
      </c>
      <c r="L7" s="4" t="s">
        <v>50</v>
      </c>
      <c r="M7" s="6">
        <v>15000.0</v>
      </c>
      <c r="N7" s="6">
        <v>600.0</v>
      </c>
      <c r="O7" s="6">
        <v>770.0</v>
      </c>
      <c r="P7" s="6">
        <v>150.0</v>
      </c>
      <c r="Q7" s="6">
        <v>1.0</v>
      </c>
      <c r="R7" s="6">
        <v>4.0</v>
      </c>
      <c r="S7" s="7"/>
      <c r="T7" s="6">
        <v>1.0</v>
      </c>
      <c r="U7" s="6">
        <v>351.0</v>
      </c>
      <c r="V7" s="7"/>
      <c r="W7" s="7"/>
      <c r="X7" s="8">
        <f t="shared" si="1"/>
        <v>4</v>
      </c>
      <c r="Y7" s="9">
        <f t="shared" si="2"/>
        <v>750</v>
      </c>
      <c r="Z7" s="8">
        <f t="shared" si="3"/>
        <v>30</v>
      </c>
      <c r="AA7" s="8">
        <f t="shared" si="4"/>
        <v>7.5</v>
      </c>
      <c r="AB7" s="8">
        <f t="shared" si="5"/>
        <v>0.05</v>
      </c>
      <c r="AC7" s="8">
        <f t="shared" si="6"/>
        <v>150</v>
      </c>
      <c r="AD7" s="8">
        <f t="shared" si="7"/>
        <v>37.5</v>
      </c>
      <c r="AE7" s="8">
        <f t="shared" si="8"/>
        <v>0.25</v>
      </c>
      <c r="AF7" s="8">
        <f t="shared" si="9"/>
        <v>600</v>
      </c>
      <c r="AG7" s="8">
        <f t="shared" si="10"/>
        <v>150</v>
      </c>
      <c r="AH7" s="8">
        <f t="shared" si="11"/>
        <v>1</v>
      </c>
      <c r="AI7" s="10">
        <f t="shared" si="12"/>
        <v>10.52631579</v>
      </c>
      <c r="AJ7" s="11">
        <f t="shared" si="13"/>
        <v>2.631578947</v>
      </c>
      <c r="AK7" s="12">
        <f t="shared" si="14"/>
        <v>0.01754385965</v>
      </c>
    </row>
    <row r="8">
      <c r="A8" s="4" t="s">
        <v>57</v>
      </c>
      <c r="B8" s="4" t="s">
        <v>48</v>
      </c>
      <c r="C8" s="4" t="s">
        <v>56</v>
      </c>
      <c r="D8" s="6">
        <v>98.0</v>
      </c>
      <c r="E8" s="6">
        <v>23.0</v>
      </c>
      <c r="F8" s="6">
        <v>23.0</v>
      </c>
      <c r="G8" s="6">
        <v>98.0</v>
      </c>
      <c r="H8" s="6">
        <v>1.0</v>
      </c>
      <c r="I8" s="6">
        <v>4.0</v>
      </c>
      <c r="J8" s="6">
        <v>63.0</v>
      </c>
      <c r="K8" s="6">
        <v>158.0</v>
      </c>
      <c r="L8" s="4" t="s">
        <v>50</v>
      </c>
      <c r="M8" s="6">
        <v>29000.0</v>
      </c>
      <c r="N8" s="6">
        <v>600.0</v>
      </c>
      <c r="O8" s="6">
        <v>770.0</v>
      </c>
      <c r="P8" s="6">
        <v>152.0</v>
      </c>
      <c r="Q8" s="6">
        <v>1.0</v>
      </c>
      <c r="R8" s="6">
        <v>8.0</v>
      </c>
      <c r="S8" s="7"/>
      <c r="T8" s="6">
        <v>3.0</v>
      </c>
      <c r="U8" s="6">
        <v>351.0</v>
      </c>
      <c r="V8" s="7"/>
      <c r="W8" s="7"/>
      <c r="X8" s="8">
        <f t="shared" si="1"/>
        <v>3.947368421</v>
      </c>
      <c r="Y8" s="9">
        <f t="shared" si="2"/>
        <v>752</v>
      </c>
      <c r="Z8" s="8">
        <f t="shared" si="3"/>
        <v>26.08695652</v>
      </c>
      <c r="AA8" s="8">
        <f t="shared" si="4"/>
        <v>6.608695652</v>
      </c>
      <c r="AB8" s="8">
        <f t="shared" si="5"/>
        <v>0.1304347826</v>
      </c>
      <c r="AC8" s="8">
        <f t="shared" si="6"/>
        <v>150</v>
      </c>
      <c r="AD8" s="8">
        <f t="shared" si="7"/>
        <v>38</v>
      </c>
      <c r="AE8" s="8">
        <f t="shared" si="8"/>
        <v>0.75</v>
      </c>
      <c r="AF8" s="8">
        <f t="shared" si="9"/>
        <v>600</v>
      </c>
      <c r="AG8" s="8">
        <f t="shared" si="10"/>
        <v>152</v>
      </c>
      <c r="AH8" s="8">
        <f t="shared" si="11"/>
        <v>3</v>
      </c>
      <c r="AI8" s="10">
        <f t="shared" si="12"/>
        <v>9.523809524</v>
      </c>
      <c r="AJ8" s="11">
        <f t="shared" si="13"/>
        <v>2.412698413</v>
      </c>
      <c r="AK8" s="12">
        <f t="shared" si="14"/>
        <v>0.04761904762</v>
      </c>
    </row>
    <row r="9">
      <c r="A9" s="4" t="s">
        <v>58</v>
      </c>
      <c r="B9" s="4" t="s">
        <v>48</v>
      </c>
      <c r="C9" s="4" t="s">
        <v>56</v>
      </c>
      <c r="D9" s="6">
        <v>78.0</v>
      </c>
      <c r="E9" s="6">
        <v>18.0</v>
      </c>
      <c r="F9" s="6">
        <v>18.0</v>
      </c>
      <c r="G9" s="6">
        <v>78.0</v>
      </c>
      <c r="H9" s="6">
        <v>1.0</v>
      </c>
      <c r="I9" s="6">
        <v>3.0</v>
      </c>
      <c r="J9" s="6">
        <v>51.0</v>
      </c>
      <c r="K9" s="6">
        <v>158.0</v>
      </c>
      <c r="L9" s="4" t="s">
        <v>50</v>
      </c>
      <c r="M9" s="6">
        <v>11000.0</v>
      </c>
      <c r="N9" s="6">
        <v>600.0</v>
      </c>
      <c r="O9" s="6">
        <v>770.0</v>
      </c>
      <c r="P9" s="6">
        <v>202.0</v>
      </c>
      <c r="Q9" s="6">
        <v>1.0</v>
      </c>
      <c r="R9" s="6">
        <v>8.0</v>
      </c>
      <c r="S9" s="7"/>
      <c r="T9" s="6">
        <v>1.0</v>
      </c>
      <c r="U9" s="6">
        <v>351.0</v>
      </c>
      <c r="V9" s="7"/>
      <c r="W9" s="7"/>
      <c r="X9" s="8">
        <f t="shared" si="1"/>
        <v>2.97029703</v>
      </c>
      <c r="Y9" s="9">
        <f t="shared" si="2"/>
        <v>802</v>
      </c>
      <c r="Z9" s="8">
        <f t="shared" si="3"/>
        <v>33.33333333</v>
      </c>
      <c r="AA9" s="8">
        <f t="shared" si="4"/>
        <v>11.22222222</v>
      </c>
      <c r="AB9" s="8">
        <f t="shared" si="5"/>
        <v>0.05555555556</v>
      </c>
      <c r="AC9" s="8">
        <f t="shared" si="6"/>
        <v>200</v>
      </c>
      <c r="AD9" s="8">
        <f t="shared" si="7"/>
        <v>67.33333333</v>
      </c>
      <c r="AE9" s="8">
        <f t="shared" si="8"/>
        <v>0.3333333333</v>
      </c>
      <c r="AF9" s="8">
        <f t="shared" si="9"/>
        <v>600</v>
      </c>
      <c r="AG9" s="8">
        <f t="shared" si="10"/>
        <v>202</v>
      </c>
      <c r="AH9" s="8">
        <f t="shared" si="11"/>
        <v>1</v>
      </c>
      <c r="AI9" s="10">
        <f t="shared" si="12"/>
        <v>11.76470588</v>
      </c>
      <c r="AJ9" s="11">
        <f t="shared" si="13"/>
        <v>3.960784314</v>
      </c>
      <c r="AK9" s="12">
        <f t="shared" si="14"/>
        <v>0.01960784314</v>
      </c>
    </row>
    <row r="10">
      <c r="A10" s="4" t="s">
        <v>59</v>
      </c>
      <c r="B10" s="4" t="s">
        <v>48</v>
      </c>
      <c r="C10" s="4" t="s">
        <v>60</v>
      </c>
      <c r="D10" s="6">
        <v>82.0</v>
      </c>
      <c r="E10" s="6">
        <v>19.0</v>
      </c>
      <c r="F10" s="6">
        <v>19.0</v>
      </c>
      <c r="G10" s="6">
        <v>82.0</v>
      </c>
      <c r="H10" s="6">
        <v>1.0</v>
      </c>
      <c r="I10" s="6">
        <v>3.0</v>
      </c>
      <c r="J10" s="6">
        <v>50.0</v>
      </c>
      <c r="K10" s="6">
        <v>130.0</v>
      </c>
      <c r="L10" s="4" t="s">
        <v>50</v>
      </c>
      <c r="M10" s="6">
        <v>18000.0</v>
      </c>
      <c r="N10" s="6">
        <v>400.0</v>
      </c>
      <c r="O10" s="6">
        <v>400.0</v>
      </c>
      <c r="P10" s="6">
        <v>151.0</v>
      </c>
      <c r="Q10" s="6">
        <v>1.0</v>
      </c>
      <c r="R10" s="6">
        <v>4.0</v>
      </c>
      <c r="S10" s="7"/>
      <c r="T10" s="6">
        <v>1.0</v>
      </c>
      <c r="U10" s="6">
        <v>337.0</v>
      </c>
      <c r="V10" s="7"/>
      <c r="W10" s="7"/>
      <c r="X10" s="8">
        <f t="shared" si="1"/>
        <v>2.649006623</v>
      </c>
      <c r="Y10" s="9">
        <f t="shared" si="2"/>
        <v>551</v>
      </c>
      <c r="Z10" s="8">
        <f t="shared" si="3"/>
        <v>21.05263158</v>
      </c>
      <c r="AA10" s="8">
        <f t="shared" si="4"/>
        <v>7.947368421</v>
      </c>
      <c r="AB10" s="8">
        <f t="shared" si="5"/>
        <v>0.05263157895</v>
      </c>
      <c r="AC10" s="8">
        <f t="shared" si="6"/>
        <v>133.3333333</v>
      </c>
      <c r="AD10" s="8">
        <f t="shared" si="7"/>
        <v>50.33333333</v>
      </c>
      <c r="AE10" s="8">
        <f t="shared" si="8"/>
        <v>0.3333333333</v>
      </c>
      <c r="AF10" s="8">
        <f t="shared" si="9"/>
        <v>400</v>
      </c>
      <c r="AG10" s="8">
        <f t="shared" si="10"/>
        <v>151</v>
      </c>
      <c r="AH10" s="8">
        <f t="shared" si="11"/>
        <v>1</v>
      </c>
      <c r="AI10" s="10">
        <f t="shared" si="12"/>
        <v>8</v>
      </c>
      <c r="AJ10" s="11">
        <f t="shared" si="13"/>
        <v>3.02</v>
      </c>
      <c r="AK10" s="12">
        <f t="shared" si="14"/>
        <v>0.02</v>
      </c>
    </row>
    <row r="11">
      <c r="A11" s="4" t="s">
        <v>61</v>
      </c>
      <c r="B11" s="4" t="s">
        <v>48</v>
      </c>
      <c r="C11" s="4" t="s">
        <v>60</v>
      </c>
      <c r="D11" s="6">
        <v>83.0</v>
      </c>
      <c r="E11" s="6">
        <v>19.0</v>
      </c>
      <c r="F11" s="6">
        <v>19.0</v>
      </c>
      <c r="G11" s="6">
        <v>83.0</v>
      </c>
      <c r="H11" s="6">
        <v>1.0</v>
      </c>
      <c r="I11" s="6">
        <v>3.0</v>
      </c>
      <c r="J11" s="6">
        <v>51.0</v>
      </c>
      <c r="K11" s="6">
        <v>130.0</v>
      </c>
      <c r="L11" s="4" t="s">
        <v>50</v>
      </c>
      <c r="M11" s="6">
        <v>23000.0</v>
      </c>
      <c r="N11" s="6">
        <v>400.0</v>
      </c>
      <c r="O11" s="6">
        <v>400.0</v>
      </c>
      <c r="P11" s="6">
        <v>151.0</v>
      </c>
      <c r="Q11" s="6">
        <v>1.0</v>
      </c>
      <c r="R11" s="6">
        <v>4.0</v>
      </c>
      <c r="S11" s="7"/>
      <c r="T11" s="6">
        <v>1.0</v>
      </c>
      <c r="U11" s="6">
        <v>337.0</v>
      </c>
      <c r="V11" s="7"/>
      <c r="W11" s="7"/>
      <c r="X11" s="8">
        <f t="shared" si="1"/>
        <v>2.649006623</v>
      </c>
      <c r="Y11" s="9">
        <f t="shared" si="2"/>
        <v>551</v>
      </c>
      <c r="Z11" s="8">
        <f t="shared" si="3"/>
        <v>21.05263158</v>
      </c>
      <c r="AA11" s="8">
        <f t="shared" si="4"/>
        <v>7.947368421</v>
      </c>
      <c r="AB11" s="8">
        <f t="shared" si="5"/>
        <v>0.05263157895</v>
      </c>
      <c r="AC11" s="8">
        <f t="shared" si="6"/>
        <v>133.3333333</v>
      </c>
      <c r="AD11" s="8">
        <f t="shared" si="7"/>
        <v>50.33333333</v>
      </c>
      <c r="AE11" s="8">
        <f t="shared" si="8"/>
        <v>0.3333333333</v>
      </c>
      <c r="AF11" s="8">
        <f t="shared" si="9"/>
        <v>400</v>
      </c>
      <c r="AG11" s="8">
        <f t="shared" si="10"/>
        <v>151</v>
      </c>
      <c r="AH11" s="8">
        <f t="shared" si="11"/>
        <v>1</v>
      </c>
      <c r="AI11" s="10">
        <f t="shared" si="12"/>
        <v>7.843137255</v>
      </c>
      <c r="AJ11" s="11">
        <f t="shared" si="13"/>
        <v>2.960784314</v>
      </c>
      <c r="AK11" s="12">
        <f t="shared" si="14"/>
        <v>0.01960784314</v>
      </c>
    </row>
    <row r="12">
      <c r="A12" s="4" t="s">
        <v>62</v>
      </c>
      <c r="B12" s="4" t="s">
        <v>48</v>
      </c>
      <c r="C12" s="4" t="s">
        <v>60</v>
      </c>
      <c r="D12" s="6">
        <v>65.0</v>
      </c>
      <c r="E12" s="6">
        <v>15.0</v>
      </c>
      <c r="F12" s="6">
        <v>15.0</v>
      </c>
      <c r="G12" s="6">
        <v>65.0</v>
      </c>
      <c r="H12" s="6">
        <v>1.0</v>
      </c>
      <c r="I12" s="6">
        <v>2.0</v>
      </c>
      <c r="J12" s="6">
        <v>39.0</v>
      </c>
      <c r="K12" s="6">
        <v>130.0</v>
      </c>
      <c r="L12" s="4" t="s">
        <v>50</v>
      </c>
      <c r="M12" s="6">
        <v>9000.0</v>
      </c>
      <c r="N12" s="6">
        <v>400.0</v>
      </c>
      <c r="O12" s="6">
        <v>400.0</v>
      </c>
      <c r="P12" s="6">
        <v>151.0</v>
      </c>
      <c r="Q12" s="6">
        <v>1.0</v>
      </c>
      <c r="R12" s="6">
        <v>8.0</v>
      </c>
      <c r="S12" s="7"/>
      <c r="T12" s="6">
        <v>1.0</v>
      </c>
      <c r="U12" s="6">
        <v>337.0</v>
      </c>
      <c r="V12" s="7"/>
      <c r="W12" s="7"/>
      <c r="X12" s="8">
        <f t="shared" si="1"/>
        <v>2.649006623</v>
      </c>
      <c r="Y12" s="9">
        <f t="shared" si="2"/>
        <v>551</v>
      </c>
      <c r="Z12" s="8">
        <f t="shared" si="3"/>
        <v>26.66666667</v>
      </c>
      <c r="AA12" s="8">
        <f t="shared" si="4"/>
        <v>10.06666667</v>
      </c>
      <c r="AB12" s="8">
        <f t="shared" si="5"/>
        <v>0.06666666667</v>
      </c>
      <c r="AC12" s="8">
        <f t="shared" si="6"/>
        <v>200</v>
      </c>
      <c r="AD12" s="8">
        <f t="shared" si="7"/>
        <v>75.5</v>
      </c>
      <c r="AE12" s="8">
        <f t="shared" si="8"/>
        <v>0.5</v>
      </c>
      <c r="AF12" s="8">
        <f t="shared" si="9"/>
        <v>400</v>
      </c>
      <c r="AG12" s="8">
        <f t="shared" si="10"/>
        <v>151</v>
      </c>
      <c r="AH12" s="8">
        <f t="shared" si="11"/>
        <v>1</v>
      </c>
      <c r="AI12" s="10">
        <f t="shared" si="12"/>
        <v>10.25641026</v>
      </c>
      <c r="AJ12" s="11">
        <f t="shared" si="13"/>
        <v>3.871794872</v>
      </c>
      <c r="AK12" s="12">
        <f t="shared" si="14"/>
        <v>0.02564102564</v>
      </c>
    </row>
    <row r="13">
      <c r="A13" s="4" t="s">
        <v>63</v>
      </c>
      <c r="B13" s="4" t="s">
        <v>48</v>
      </c>
      <c r="C13" s="4" t="s">
        <v>64</v>
      </c>
      <c r="D13" s="6">
        <v>68.0</v>
      </c>
      <c r="E13" s="6">
        <v>15.0</v>
      </c>
      <c r="F13" s="6">
        <v>15.0</v>
      </c>
      <c r="G13" s="6">
        <v>68.0</v>
      </c>
      <c r="H13" s="6">
        <v>1.0</v>
      </c>
      <c r="I13" s="6">
        <v>3.0</v>
      </c>
      <c r="J13" s="6">
        <v>42.0</v>
      </c>
      <c r="K13" s="6">
        <v>119.0</v>
      </c>
      <c r="L13" s="4" t="s">
        <v>50</v>
      </c>
      <c r="M13" s="6">
        <v>15000.0</v>
      </c>
      <c r="N13" s="6">
        <v>200.0</v>
      </c>
      <c r="O13" s="6">
        <v>820.0</v>
      </c>
      <c r="P13" s="6">
        <v>100.0</v>
      </c>
      <c r="Q13" s="6">
        <v>0.0</v>
      </c>
      <c r="R13" s="6">
        <v>0.0</v>
      </c>
      <c r="S13" s="7"/>
      <c r="T13" s="6">
        <v>0.0</v>
      </c>
      <c r="U13" s="6">
        <v>295.0</v>
      </c>
      <c r="V13" s="7"/>
      <c r="W13" s="7"/>
      <c r="X13" s="8">
        <f t="shared" si="1"/>
        <v>2</v>
      </c>
      <c r="Y13" s="9">
        <f t="shared" si="2"/>
        <v>300</v>
      </c>
      <c r="Z13" s="8">
        <f t="shared" si="3"/>
        <v>13.33333333</v>
      </c>
      <c r="AA13" s="8">
        <f t="shared" si="4"/>
        <v>6.666666667</v>
      </c>
      <c r="AB13" s="8">
        <f t="shared" si="5"/>
        <v>0</v>
      </c>
      <c r="AC13" s="8">
        <f t="shared" si="6"/>
        <v>66.66666667</v>
      </c>
      <c r="AD13" s="8">
        <f t="shared" si="7"/>
        <v>33.33333333</v>
      </c>
      <c r="AE13" s="8">
        <f t="shared" si="8"/>
        <v>0</v>
      </c>
      <c r="AF13" s="8">
        <f t="shared" si="9"/>
        <v>200</v>
      </c>
      <c r="AG13" s="8">
        <f t="shared" si="10"/>
        <v>100</v>
      </c>
      <c r="AH13" s="8">
        <f t="shared" si="11"/>
        <v>0</v>
      </c>
      <c r="AI13" s="10">
        <f t="shared" si="12"/>
        <v>4.761904762</v>
      </c>
      <c r="AJ13" s="11">
        <f t="shared" si="13"/>
        <v>2.380952381</v>
      </c>
      <c r="AK13" s="12">
        <f t="shared" si="14"/>
        <v>0</v>
      </c>
    </row>
    <row r="14">
      <c r="A14" s="4" t="s">
        <v>65</v>
      </c>
      <c r="B14" s="4" t="s">
        <v>48</v>
      </c>
      <c r="C14" s="4" t="s">
        <v>64</v>
      </c>
      <c r="D14" s="6">
        <v>125.0</v>
      </c>
      <c r="E14" s="6">
        <v>29.0</v>
      </c>
      <c r="F14" s="6">
        <v>29.0</v>
      </c>
      <c r="G14" s="6">
        <v>125.0</v>
      </c>
      <c r="H14" s="6">
        <v>1.0</v>
      </c>
      <c r="I14" s="6">
        <v>5.0</v>
      </c>
      <c r="J14" s="6">
        <v>78.0</v>
      </c>
      <c r="K14" s="6">
        <v>119.0</v>
      </c>
      <c r="L14" s="4" t="s">
        <v>50</v>
      </c>
      <c r="M14" s="6">
        <v>36000.0</v>
      </c>
      <c r="N14" s="6">
        <v>200.0</v>
      </c>
      <c r="O14" s="6">
        <v>820.0</v>
      </c>
      <c r="P14" s="6">
        <v>103.0</v>
      </c>
      <c r="Q14" s="6">
        <v>0.0</v>
      </c>
      <c r="R14" s="6">
        <v>0.0</v>
      </c>
      <c r="S14" s="7"/>
      <c r="T14" s="6">
        <v>0.0</v>
      </c>
      <c r="U14" s="6">
        <v>295.0</v>
      </c>
      <c r="V14" s="7"/>
      <c r="W14" s="7"/>
      <c r="X14" s="8">
        <f t="shared" si="1"/>
        <v>1.941747573</v>
      </c>
      <c r="Y14" s="9">
        <f t="shared" si="2"/>
        <v>303</v>
      </c>
      <c r="Z14" s="8">
        <f t="shared" si="3"/>
        <v>6.896551724</v>
      </c>
      <c r="AA14" s="8">
        <f t="shared" si="4"/>
        <v>3.551724138</v>
      </c>
      <c r="AB14" s="8">
        <f t="shared" si="5"/>
        <v>0</v>
      </c>
      <c r="AC14" s="8">
        <f t="shared" si="6"/>
        <v>40</v>
      </c>
      <c r="AD14" s="8">
        <f t="shared" si="7"/>
        <v>20.6</v>
      </c>
      <c r="AE14" s="8">
        <f t="shared" si="8"/>
        <v>0</v>
      </c>
      <c r="AF14" s="8">
        <f t="shared" si="9"/>
        <v>200</v>
      </c>
      <c r="AG14" s="8">
        <f t="shared" si="10"/>
        <v>103</v>
      </c>
      <c r="AH14" s="8">
        <f t="shared" si="11"/>
        <v>0</v>
      </c>
      <c r="AI14" s="10">
        <f t="shared" si="12"/>
        <v>2.564102564</v>
      </c>
      <c r="AJ14" s="11">
        <f t="shared" si="13"/>
        <v>1.320512821</v>
      </c>
      <c r="AK14" s="12">
        <f t="shared" si="14"/>
        <v>0</v>
      </c>
    </row>
    <row r="15">
      <c r="A15" s="4" t="s">
        <v>66</v>
      </c>
      <c r="B15" s="4" t="s">
        <v>48</v>
      </c>
      <c r="C15" s="4" t="s">
        <v>64</v>
      </c>
      <c r="D15" s="6">
        <v>87.0</v>
      </c>
      <c r="E15" s="6">
        <v>20.0</v>
      </c>
      <c r="F15" s="6">
        <v>20.0</v>
      </c>
      <c r="G15" s="6">
        <v>87.0</v>
      </c>
      <c r="H15" s="6">
        <v>1.0</v>
      </c>
      <c r="I15" s="6">
        <v>3.0</v>
      </c>
      <c r="J15" s="6">
        <v>54.0</v>
      </c>
      <c r="K15" s="6">
        <v>119.0</v>
      </c>
      <c r="L15" s="4" t="s">
        <v>50</v>
      </c>
      <c r="M15" s="6">
        <v>12000.0</v>
      </c>
      <c r="N15" s="6">
        <v>200.0</v>
      </c>
      <c r="O15" s="6">
        <v>820.0</v>
      </c>
      <c r="P15" s="6">
        <v>202.0</v>
      </c>
      <c r="Q15" s="6">
        <v>0.0</v>
      </c>
      <c r="R15" s="6">
        <v>4.0</v>
      </c>
      <c r="S15" s="7"/>
      <c r="T15" s="6">
        <v>0.0</v>
      </c>
      <c r="U15" s="6">
        <v>295.0</v>
      </c>
      <c r="V15" s="7"/>
      <c r="W15" s="7"/>
      <c r="X15" s="8">
        <f t="shared" si="1"/>
        <v>0.9900990099</v>
      </c>
      <c r="Y15" s="9">
        <f t="shared" si="2"/>
        <v>402</v>
      </c>
      <c r="Z15" s="8">
        <f t="shared" si="3"/>
        <v>10</v>
      </c>
      <c r="AA15" s="8">
        <f t="shared" si="4"/>
        <v>10.1</v>
      </c>
      <c r="AB15" s="8">
        <f t="shared" si="5"/>
        <v>0</v>
      </c>
      <c r="AC15" s="8">
        <f t="shared" si="6"/>
        <v>66.66666667</v>
      </c>
      <c r="AD15" s="8">
        <f t="shared" si="7"/>
        <v>67.33333333</v>
      </c>
      <c r="AE15" s="8">
        <f t="shared" si="8"/>
        <v>0</v>
      </c>
      <c r="AF15" s="8">
        <f t="shared" si="9"/>
        <v>200</v>
      </c>
      <c r="AG15" s="8">
        <f t="shared" si="10"/>
        <v>202</v>
      </c>
      <c r="AH15" s="8">
        <f t="shared" si="11"/>
        <v>0</v>
      </c>
      <c r="AI15" s="10">
        <f t="shared" si="12"/>
        <v>3.703703704</v>
      </c>
      <c r="AJ15" s="11">
        <f t="shared" si="13"/>
        <v>3.740740741</v>
      </c>
      <c r="AK15" s="12">
        <f t="shared" si="14"/>
        <v>0</v>
      </c>
    </row>
    <row r="16">
      <c r="A16" s="4" t="s">
        <v>67</v>
      </c>
      <c r="B16" s="4" t="s">
        <v>48</v>
      </c>
      <c r="C16" s="4" t="s">
        <v>49</v>
      </c>
      <c r="D16" s="6">
        <v>114.0</v>
      </c>
      <c r="E16" s="6">
        <v>26.0</v>
      </c>
      <c r="F16" s="6">
        <v>26.0</v>
      </c>
      <c r="G16" s="6">
        <v>114.0</v>
      </c>
      <c r="H16" s="6">
        <v>2.0</v>
      </c>
      <c r="I16" s="6">
        <v>5.0</v>
      </c>
      <c r="J16" s="6">
        <v>71.0</v>
      </c>
      <c r="K16" s="6">
        <v>144.0</v>
      </c>
      <c r="L16" s="4" t="s">
        <v>50</v>
      </c>
      <c r="M16" s="6">
        <v>40000.0</v>
      </c>
      <c r="N16" s="6">
        <v>300.0</v>
      </c>
      <c r="O16" s="6">
        <v>250.0</v>
      </c>
      <c r="P16" s="6">
        <v>306.0</v>
      </c>
      <c r="Q16" s="6">
        <v>3.0</v>
      </c>
      <c r="R16" s="6">
        <v>12.0</v>
      </c>
      <c r="S16" s="7"/>
      <c r="T16" s="6">
        <v>5.0</v>
      </c>
      <c r="U16" s="6">
        <v>281.0</v>
      </c>
      <c r="V16" s="7"/>
      <c r="W16" s="7"/>
      <c r="X16" s="8">
        <f t="shared" si="1"/>
        <v>0.9803921569</v>
      </c>
      <c r="Y16" s="9">
        <f t="shared" si="2"/>
        <v>606</v>
      </c>
      <c r="Z16" s="8">
        <f t="shared" si="3"/>
        <v>11.53846154</v>
      </c>
      <c r="AA16" s="8">
        <f t="shared" si="4"/>
        <v>11.76923077</v>
      </c>
      <c r="AB16" s="8">
        <f t="shared" si="5"/>
        <v>0.1923076923</v>
      </c>
      <c r="AC16" s="8">
        <f t="shared" si="6"/>
        <v>60</v>
      </c>
      <c r="AD16" s="8">
        <f t="shared" si="7"/>
        <v>61.2</v>
      </c>
      <c r="AE16" s="8">
        <f t="shared" si="8"/>
        <v>1</v>
      </c>
      <c r="AF16" s="8">
        <f t="shared" si="9"/>
        <v>150</v>
      </c>
      <c r="AG16" s="8">
        <f t="shared" si="10"/>
        <v>153</v>
      </c>
      <c r="AH16" s="8">
        <f t="shared" si="11"/>
        <v>2.5</v>
      </c>
      <c r="AI16" s="10">
        <f t="shared" si="12"/>
        <v>4.225352113</v>
      </c>
      <c r="AJ16" s="11">
        <f t="shared" si="13"/>
        <v>4.309859155</v>
      </c>
      <c r="AK16" s="12">
        <f t="shared" si="14"/>
        <v>0.07042253521</v>
      </c>
    </row>
    <row r="17">
      <c r="A17" s="4" t="s">
        <v>68</v>
      </c>
      <c r="B17" s="4" t="s">
        <v>48</v>
      </c>
      <c r="C17" s="4" t="s">
        <v>49</v>
      </c>
      <c r="D17" s="6">
        <v>125.0</v>
      </c>
      <c r="E17" s="6">
        <v>29.0</v>
      </c>
      <c r="F17" s="6">
        <v>29.0</v>
      </c>
      <c r="G17" s="6">
        <v>125.0</v>
      </c>
      <c r="H17" s="6">
        <v>1.0</v>
      </c>
      <c r="I17" s="6">
        <v>5.0</v>
      </c>
      <c r="J17" s="6">
        <v>105.0</v>
      </c>
      <c r="K17" s="6">
        <v>185.0</v>
      </c>
      <c r="L17" s="4" t="s">
        <v>50</v>
      </c>
      <c r="M17" s="6">
        <v>40000.0</v>
      </c>
      <c r="N17" s="6">
        <v>375.0</v>
      </c>
      <c r="O17" s="6">
        <v>250.0</v>
      </c>
      <c r="P17" s="6">
        <v>500.0</v>
      </c>
      <c r="Q17" s="6">
        <v>3.0</v>
      </c>
      <c r="R17" s="6">
        <v>12.0</v>
      </c>
      <c r="S17" s="7"/>
      <c r="T17" s="6">
        <v>5.0</v>
      </c>
      <c r="U17" s="6">
        <v>281.0</v>
      </c>
      <c r="V17" s="7"/>
      <c r="W17" s="7"/>
      <c r="X17" s="8">
        <f t="shared" si="1"/>
        <v>0.75</v>
      </c>
      <c r="Y17" s="9">
        <f t="shared" si="2"/>
        <v>875</v>
      </c>
      <c r="Z17" s="8">
        <f t="shared" si="3"/>
        <v>12.93103448</v>
      </c>
      <c r="AA17" s="8">
        <f t="shared" si="4"/>
        <v>17.24137931</v>
      </c>
      <c r="AB17" s="8">
        <f t="shared" si="5"/>
        <v>0.1724137931</v>
      </c>
      <c r="AC17" s="8">
        <f t="shared" si="6"/>
        <v>75</v>
      </c>
      <c r="AD17" s="8">
        <f t="shared" si="7"/>
        <v>100</v>
      </c>
      <c r="AE17" s="8">
        <f t="shared" si="8"/>
        <v>1</v>
      </c>
      <c r="AF17" s="8">
        <f t="shared" si="9"/>
        <v>375</v>
      </c>
      <c r="AG17" s="8">
        <f t="shared" si="10"/>
        <v>500</v>
      </c>
      <c r="AH17" s="8">
        <f t="shared" si="11"/>
        <v>5</v>
      </c>
      <c r="AI17" s="10">
        <f t="shared" si="12"/>
        <v>3.571428571</v>
      </c>
      <c r="AJ17" s="11">
        <f t="shared" si="13"/>
        <v>4.761904762</v>
      </c>
      <c r="AK17" s="12">
        <f t="shared" si="14"/>
        <v>0.04761904762</v>
      </c>
    </row>
    <row r="18">
      <c r="A18" s="4" t="s">
        <v>69</v>
      </c>
      <c r="B18" s="4" t="s">
        <v>48</v>
      </c>
      <c r="C18" s="4" t="s">
        <v>70</v>
      </c>
      <c r="D18" s="6">
        <v>160.0</v>
      </c>
      <c r="E18" s="6">
        <v>76.0</v>
      </c>
      <c r="F18" s="6">
        <v>38.0</v>
      </c>
      <c r="G18" s="6">
        <v>640.0</v>
      </c>
      <c r="H18" s="6">
        <v>0.0</v>
      </c>
      <c r="I18" s="6">
        <v>10.0</v>
      </c>
      <c r="J18" s="6">
        <v>201.0</v>
      </c>
      <c r="K18" s="6">
        <v>121.0</v>
      </c>
      <c r="L18" s="4" t="s">
        <v>50</v>
      </c>
      <c r="M18" s="6">
        <v>18000.0</v>
      </c>
      <c r="N18" s="6">
        <v>600.0</v>
      </c>
      <c r="O18" s="6">
        <v>610.0</v>
      </c>
      <c r="P18" s="6">
        <v>142.0</v>
      </c>
      <c r="Q18" s="6">
        <v>1.0</v>
      </c>
      <c r="R18" s="6">
        <v>8.0</v>
      </c>
      <c r="S18" s="7"/>
      <c r="T18" s="6">
        <v>9.0</v>
      </c>
      <c r="U18" s="6">
        <v>299.0</v>
      </c>
      <c r="V18" s="7"/>
      <c r="W18" s="7"/>
      <c r="X18" s="8">
        <f t="shared" si="1"/>
        <v>4.225352113</v>
      </c>
      <c r="Y18" s="9">
        <f t="shared" si="2"/>
        <v>742</v>
      </c>
      <c r="Z18" s="8">
        <f t="shared" si="3"/>
        <v>7.894736842</v>
      </c>
      <c r="AA18" s="8">
        <f t="shared" si="4"/>
        <v>1.868421053</v>
      </c>
      <c r="AB18" s="8">
        <f t="shared" si="5"/>
        <v>0.1184210526</v>
      </c>
      <c r="AC18" s="8">
        <f t="shared" si="6"/>
        <v>60</v>
      </c>
      <c r="AD18" s="8">
        <f t="shared" si="7"/>
        <v>14.2</v>
      </c>
      <c r="AE18" s="8">
        <f t="shared" si="8"/>
        <v>0.9</v>
      </c>
      <c r="AF18" s="8" t="str">
        <f t="shared" si="9"/>
        <v>#DIV/0!</v>
      </c>
      <c r="AG18" s="8" t="str">
        <f t="shared" si="10"/>
        <v>#DIV/0!</v>
      </c>
      <c r="AH18" s="8" t="str">
        <f t="shared" si="11"/>
        <v>#DIV/0!</v>
      </c>
      <c r="AI18" s="10">
        <f t="shared" si="12"/>
        <v>2.985074627</v>
      </c>
      <c r="AJ18" s="11">
        <f t="shared" si="13"/>
        <v>0.7064676617</v>
      </c>
      <c r="AK18" s="12">
        <f t="shared" si="14"/>
        <v>0.0447761194</v>
      </c>
    </row>
    <row r="19">
      <c r="A19" s="4" t="s">
        <v>71</v>
      </c>
      <c r="B19" s="4" t="s">
        <v>48</v>
      </c>
      <c r="C19" s="4" t="s">
        <v>70</v>
      </c>
      <c r="D19" s="6">
        <v>160.0</v>
      </c>
      <c r="E19" s="6">
        <v>76.0</v>
      </c>
      <c r="F19" s="6">
        <v>38.0</v>
      </c>
      <c r="G19" s="6">
        <v>640.0</v>
      </c>
      <c r="H19" s="6">
        <v>0.0</v>
      </c>
      <c r="I19" s="6">
        <v>10.0</v>
      </c>
      <c r="J19" s="6">
        <v>201.0</v>
      </c>
      <c r="K19" s="6">
        <v>121.0</v>
      </c>
      <c r="L19" s="4" t="s">
        <v>50</v>
      </c>
      <c r="M19" s="6">
        <v>9000.0</v>
      </c>
      <c r="N19" s="6">
        <v>600.0</v>
      </c>
      <c r="O19" s="6">
        <v>610.0</v>
      </c>
      <c r="P19" s="6">
        <v>142.0</v>
      </c>
      <c r="Q19" s="6">
        <v>1.0</v>
      </c>
      <c r="R19" s="6">
        <v>8.0</v>
      </c>
      <c r="S19" s="7"/>
      <c r="T19" s="6">
        <v>4.0</v>
      </c>
      <c r="U19" s="6">
        <v>299.0</v>
      </c>
      <c r="V19" s="7"/>
      <c r="W19" s="7"/>
      <c r="X19" s="8">
        <f t="shared" si="1"/>
        <v>4.225352113</v>
      </c>
      <c r="Y19" s="9">
        <f t="shared" si="2"/>
        <v>742</v>
      </c>
      <c r="Z19" s="8">
        <f t="shared" si="3"/>
        <v>7.894736842</v>
      </c>
      <c r="AA19" s="8">
        <f t="shared" si="4"/>
        <v>1.868421053</v>
      </c>
      <c r="AB19" s="8">
        <f t="shared" si="5"/>
        <v>0.05263157895</v>
      </c>
      <c r="AC19" s="8">
        <f t="shared" si="6"/>
        <v>60</v>
      </c>
      <c r="AD19" s="8">
        <f t="shared" si="7"/>
        <v>14.2</v>
      </c>
      <c r="AE19" s="8">
        <f t="shared" si="8"/>
        <v>0.4</v>
      </c>
      <c r="AF19" s="8" t="str">
        <f t="shared" si="9"/>
        <v>#DIV/0!</v>
      </c>
      <c r="AG19" s="8" t="str">
        <f t="shared" si="10"/>
        <v>#DIV/0!</v>
      </c>
      <c r="AH19" s="8" t="str">
        <f t="shared" si="11"/>
        <v>#DIV/0!</v>
      </c>
      <c r="AI19" s="10">
        <f t="shared" si="12"/>
        <v>2.985074627</v>
      </c>
      <c r="AJ19" s="11">
        <f t="shared" si="13"/>
        <v>0.7064676617</v>
      </c>
      <c r="AK19" s="12">
        <f t="shared" si="14"/>
        <v>0.01990049751</v>
      </c>
    </row>
    <row r="20">
      <c r="A20" s="4" t="s">
        <v>72</v>
      </c>
      <c r="B20" s="4" t="s">
        <v>48</v>
      </c>
      <c r="C20" s="4" t="s">
        <v>73</v>
      </c>
      <c r="D20" s="6">
        <v>130.0</v>
      </c>
      <c r="E20" s="6">
        <v>30.0</v>
      </c>
      <c r="F20" s="6">
        <v>30.0</v>
      </c>
      <c r="G20" s="6">
        <v>130.0</v>
      </c>
      <c r="H20" s="6">
        <v>2.0</v>
      </c>
      <c r="I20" s="6">
        <v>5.0</v>
      </c>
      <c r="J20" s="6">
        <v>60.0</v>
      </c>
      <c r="K20" s="6">
        <v>143.0</v>
      </c>
      <c r="L20" s="4" t="s">
        <v>50</v>
      </c>
      <c r="M20" s="6">
        <v>36000.0</v>
      </c>
      <c r="N20" s="6">
        <v>600.0</v>
      </c>
      <c r="O20" s="6">
        <v>500.0</v>
      </c>
      <c r="P20" s="6">
        <v>255.0</v>
      </c>
      <c r="Q20" s="6">
        <v>3.0</v>
      </c>
      <c r="R20" s="6">
        <v>12.0</v>
      </c>
      <c r="S20" s="7"/>
      <c r="T20" s="6">
        <v>5.0</v>
      </c>
      <c r="U20" s="6">
        <v>337.0</v>
      </c>
      <c r="V20" s="7"/>
      <c r="W20" s="7"/>
      <c r="X20" s="8">
        <f t="shared" si="1"/>
        <v>2.352941176</v>
      </c>
      <c r="Y20" s="9">
        <f t="shared" si="2"/>
        <v>855</v>
      </c>
      <c r="Z20" s="8">
        <f t="shared" si="3"/>
        <v>20</v>
      </c>
      <c r="AA20" s="8">
        <f t="shared" si="4"/>
        <v>8.5</v>
      </c>
      <c r="AB20" s="8">
        <f t="shared" si="5"/>
        <v>0.1666666667</v>
      </c>
      <c r="AC20" s="8">
        <f t="shared" si="6"/>
        <v>120</v>
      </c>
      <c r="AD20" s="8">
        <f t="shared" si="7"/>
        <v>51</v>
      </c>
      <c r="AE20" s="8">
        <f t="shared" si="8"/>
        <v>1</v>
      </c>
      <c r="AF20" s="8">
        <f t="shared" si="9"/>
        <v>300</v>
      </c>
      <c r="AG20" s="8">
        <f t="shared" si="10"/>
        <v>127.5</v>
      </c>
      <c r="AH20" s="8">
        <f t="shared" si="11"/>
        <v>2.5</v>
      </c>
      <c r="AI20" s="10">
        <f t="shared" si="12"/>
        <v>10</v>
      </c>
      <c r="AJ20" s="11">
        <f t="shared" si="13"/>
        <v>4.25</v>
      </c>
      <c r="AK20" s="12">
        <f t="shared" si="14"/>
        <v>0.08333333333</v>
      </c>
    </row>
    <row r="21">
      <c r="A21" s="4" t="s">
        <v>74</v>
      </c>
      <c r="B21" s="4" t="s">
        <v>48</v>
      </c>
      <c r="C21" s="4" t="s">
        <v>73</v>
      </c>
      <c r="D21" s="6">
        <v>80.0</v>
      </c>
      <c r="E21" s="6">
        <v>19.0</v>
      </c>
      <c r="F21" s="6">
        <v>19.0</v>
      </c>
      <c r="G21" s="6">
        <v>80.0</v>
      </c>
      <c r="H21" s="6">
        <v>1.0</v>
      </c>
      <c r="I21" s="6">
        <v>3.0</v>
      </c>
      <c r="J21" s="6">
        <v>37.0</v>
      </c>
      <c r="K21" s="6">
        <v>124.0</v>
      </c>
      <c r="L21" s="4" t="s">
        <v>50</v>
      </c>
      <c r="M21" s="6">
        <v>19000.0</v>
      </c>
      <c r="N21" s="6">
        <v>400.0</v>
      </c>
      <c r="O21" s="6">
        <v>400.0</v>
      </c>
      <c r="P21" s="6">
        <v>151.0</v>
      </c>
      <c r="Q21" s="6">
        <v>1.0</v>
      </c>
      <c r="R21" s="6">
        <v>4.0</v>
      </c>
      <c r="S21" s="7"/>
      <c r="T21" s="6">
        <v>1.0</v>
      </c>
      <c r="U21" s="6">
        <v>351.0</v>
      </c>
      <c r="V21" s="7"/>
      <c r="W21" s="7"/>
      <c r="X21" s="8">
        <f t="shared" si="1"/>
        <v>2.649006623</v>
      </c>
      <c r="Y21" s="9">
        <f t="shared" si="2"/>
        <v>551</v>
      </c>
      <c r="Z21" s="8">
        <f t="shared" si="3"/>
        <v>21.05263158</v>
      </c>
      <c r="AA21" s="8">
        <f t="shared" si="4"/>
        <v>7.947368421</v>
      </c>
      <c r="AB21" s="8">
        <f t="shared" si="5"/>
        <v>0.05263157895</v>
      </c>
      <c r="AC21" s="8">
        <f t="shared" si="6"/>
        <v>133.3333333</v>
      </c>
      <c r="AD21" s="8">
        <f t="shared" si="7"/>
        <v>50.33333333</v>
      </c>
      <c r="AE21" s="8">
        <f t="shared" si="8"/>
        <v>0.3333333333</v>
      </c>
      <c r="AF21" s="8">
        <f t="shared" si="9"/>
        <v>400</v>
      </c>
      <c r="AG21" s="8">
        <f t="shared" si="10"/>
        <v>151</v>
      </c>
      <c r="AH21" s="8">
        <f t="shared" si="11"/>
        <v>1</v>
      </c>
      <c r="AI21" s="10">
        <f t="shared" si="12"/>
        <v>10.81081081</v>
      </c>
      <c r="AJ21" s="11">
        <f t="shared" si="13"/>
        <v>4.081081081</v>
      </c>
      <c r="AK21" s="12">
        <f t="shared" si="14"/>
        <v>0.02702702703</v>
      </c>
    </row>
    <row r="22">
      <c r="A22" s="4" t="s">
        <v>75</v>
      </c>
      <c r="B22" s="4" t="s">
        <v>48</v>
      </c>
      <c r="C22" s="4" t="s">
        <v>73</v>
      </c>
      <c r="D22" s="6">
        <v>71.0</v>
      </c>
      <c r="E22" s="6">
        <v>16.0</v>
      </c>
      <c r="F22" s="6">
        <v>16.0</v>
      </c>
      <c r="G22" s="6">
        <v>71.0</v>
      </c>
      <c r="H22" s="6">
        <v>1.0</v>
      </c>
      <c r="I22" s="6">
        <v>3.0</v>
      </c>
      <c r="J22" s="6">
        <v>32.0</v>
      </c>
      <c r="K22" s="6">
        <v>124.0</v>
      </c>
      <c r="L22" s="4" t="s">
        <v>50</v>
      </c>
      <c r="M22" s="6">
        <v>9000.0</v>
      </c>
      <c r="N22" s="6">
        <v>400.0</v>
      </c>
      <c r="O22" s="6">
        <v>400.0</v>
      </c>
      <c r="P22" s="6">
        <v>151.0</v>
      </c>
      <c r="Q22" s="6">
        <v>1.0</v>
      </c>
      <c r="R22" s="6">
        <v>8.0</v>
      </c>
      <c r="S22" s="7"/>
      <c r="T22" s="6">
        <v>1.0</v>
      </c>
      <c r="U22" s="6">
        <v>351.0</v>
      </c>
      <c r="V22" s="7"/>
      <c r="W22" s="7"/>
      <c r="X22" s="8">
        <f t="shared" si="1"/>
        <v>2.649006623</v>
      </c>
      <c r="Y22" s="9">
        <f t="shared" si="2"/>
        <v>551</v>
      </c>
      <c r="Z22" s="8">
        <f t="shared" si="3"/>
        <v>25</v>
      </c>
      <c r="AA22" s="8">
        <f t="shared" si="4"/>
        <v>9.4375</v>
      </c>
      <c r="AB22" s="8">
        <f t="shared" si="5"/>
        <v>0.0625</v>
      </c>
      <c r="AC22" s="8">
        <f t="shared" si="6"/>
        <v>133.3333333</v>
      </c>
      <c r="AD22" s="8">
        <f t="shared" si="7"/>
        <v>50.33333333</v>
      </c>
      <c r="AE22" s="8">
        <f t="shared" si="8"/>
        <v>0.3333333333</v>
      </c>
      <c r="AF22" s="8">
        <f t="shared" si="9"/>
        <v>400</v>
      </c>
      <c r="AG22" s="8">
        <f t="shared" si="10"/>
        <v>151</v>
      </c>
      <c r="AH22" s="8">
        <f t="shared" si="11"/>
        <v>1</v>
      </c>
      <c r="AI22" s="10">
        <f t="shared" si="12"/>
        <v>12.5</v>
      </c>
      <c r="AJ22" s="11">
        <f t="shared" si="13"/>
        <v>4.71875</v>
      </c>
      <c r="AK22" s="12">
        <f t="shared" si="14"/>
        <v>0.03125</v>
      </c>
    </row>
    <row r="23">
      <c r="A23" s="4" t="s">
        <v>76</v>
      </c>
      <c r="B23" s="4" t="s">
        <v>48</v>
      </c>
      <c r="C23" s="4" t="s">
        <v>73</v>
      </c>
      <c r="D23" s="6">
        <v>116.0</v>
      </c>
      <c r="E23" s="6">
        <v>26.0</v>
      </c>
      <c r="F23" s="6">
        <v>26.0</v>
      </c>
      <c r="G23" s="6">
        <v>116.0</v>
      </c>
      <c r="H23" s="6">
        <v>1.0</v>
      </c>
      <c r="I23" s="6">
        <v>5.0</v>
      </c>
      <c r="J23" s="6">
        <v>54.0</v>
      </c>
      <c r="K23" s="6">
        <v>93.0</v>
      </c>
      <c r="L23" s="4" t="s">
        <v>50</v>
      </c>
      <c r="M23" s="6">
        <v>32000.0</v>
      </c>
      <c r="N23" s="6">
        <v>600.0</v>
      </c>
      <c r="O23" s="6">
        <v>700.0</v>
      </c>
      <c r="P23" s="6">
        <v>254.0</v>
      </c>
      <c r="Q23" s="6">
        <v>4.0</v>
      </c>
      <c r="R23" s="6">
        <v>6.0</v>
      </c>
      <c r="S23" s="7"/>
      <c r="T23" s="6">
        <v>2.0</v>
      </c>
      <c r="U23" s="6">
        <v>379.0</v>
      </c>
      <c r="V23" s="7"/>
      <c r="W23" s="7"/>
      <c r="X23" s="8">
        <f t="shared" si="1"/>
        <v>2.362204724</v>
      </c>
      <c r="Y23" s="9">
        <f t="shared" si="2"/>
        <v>854</v>
      </c>
      <c r="Z23" s="8">
        <f t="shared" si="3"/>
        <v>23.07692308</v>
      </c>
      <c r="AA23" s="8">
        <f t="shared" si="4"/>
        <v>9.769230769</v>
      </c>
      <c r="AB23" s="8">
        <f t="shared" si="5"/>
        <v>0.07692307692</v>
      </c>
      <c r="AC23" s="8">
        <f t="shared" si="6"/>
        <v>120</v>
      </c>
      <c r="AD23" s="8">
        <f t="shared" si="7"/>
        <v>50.8</v>
      </c>
      <c r="AE23" s="8">
        <f t="shared" si="8"/>
        <v>0.4</v>
      </c>
      <c r="AF23" s="8">
        <f t="shared" si="9"/>
        <v>600</v>
      </c>
      <c r="AG23" s="8">
        <f t="shared" si="10"/>
        <v>254</v>
      </c>
      <c r="AH23" s="8">
        <f t="shared" si="11"/>
        <v>2</v>
      </c>
      <c r="AI23" s="10">
        <f t="shared" si="12"/>
        <v>11.11111111</v>
      </c>
      <c r="AJ23" s="11">
        <f t="shared" si="13"/>
        <v>4.703703704</v>
      </c>
      <c r="AK23" s="12">
        <f t="shared" si="14"/>
        <v>0.03703703704</v>
      </c>
    </row>
    <row r="24">
      <c r="A24" s="4" t="s">
        <v>77</v>
      </c>
      <c r="B24" s="4" t="s">
        <v>48</v>
      </c>
      <c r="C24" s="4" t="s">
        <v>73</v>
      </c>
      <c r="D24" s="6">
        <v>113.0</v>
      </c>
      <c r="E24" s="6">
        <v>26.0</v>
      </c>
      <c r="F24" s="6">
        <v>26.0</v>
      </c>
      <c r="G24" s="6">
        <v>113.0</v>
      </c>
      <c r="H24" s="6">
        <v>1.0</v>
      </c>
      <c r="I24" s="6">
        <v>4.0</v>
      </c>
      <c r="J24" s="6">
        <v>52.0</v>
      </c>
      <c r="K24" s="6">
        <v>110.0</v>
      </c>
      <c r="L24" s="4" t="s">
        <v>50</v>
      </c>
      <c r="M24" s="6">
        <v>31000.0</v>
      </c>
      <c r="N24" s="6">
        <v>400.0</v>
      </c>
      <c r="O24" s="6">
        <v>600.0</v>
      </c>
      <c r="P24" s="6">
        <v>203.0</v>
      </c>
      <c r="Q24" s="6">
        <v>4.0</v>
      </c>
      <c r="R24" s="6">
        <v>12.0</v>
      </c>
      <c r="S24" s="7"/>
      <c r="T24" s="6">
        <v>5.0</v>
      </c>
      <c r="U24" s="6">
        <v>365.0</v>
      </c>
      <c r="V24" s="7"/>
      <c r="W24" s="7"/>
      <c r="X24" s="8">
        <f t="shared" si="1"/>
        <v>1.97044335</v>
      </c>
      <c r="Y24" s="9">
        <f t="shared" si="2"/>
        <v>603</v>
      </c>
      <c r="Z24" s="8">
        <f t="shared" si="3"/>
        <v>15.38461538</v>
      </c>
      <c r="AA24" s="8">
        <f t="shared" si="4"/>
        <v>7.807692308</v>
      </c>
      <c r="AB24" s="8">
        <f t="shared" si="5"/>
        <v>0.1923076923</v>
      </c>
      <c r="AC24" s="8">
        <f t="shared" si="6"/>
        <v>100</v>
      </c>
      <c r="AD24" s="8">
        <f t="shared" si="7"/>
        <v>50.75</v>
      </c>
      <c r="AE24" s="8">
        <f t="shared" si="8"/>
        <v>1.25</v>
      </c>
      <c r="AF24" s="8">
        <f t="shared" si="9"/>
        <v>400</v>
      </c>
      <c r="AG24" s="8">
        <f t="shared" si="10"/>
        <v>203</v>
      </c>
      <c r="AH24" s="8">
        <f t="shared" si="11"/>
        <v>5</v>
      </c>
      <c r="AI24" s="10">
        <f t="shared" si="12"/>
        <v>7.692307692</v>
      </c>
      <c r="AJ24" s="11">
        <f t="shared" si="13"/>
        <v>3.903846154</v>
      </c>
      <c r="AK24" s="12">
        <f t="shared" si="14"/>
        <v>0.09615384615</v>
      </c>
    </row>
    <row r="25">
      <c r="A25" s="4" t="s">
        <v>78</v>
      </c>
      <c r="B25" s="4" t="s">
        <v>48</v>
      </c>
      <c r="C25" s="4" t="s">
        <v>73</v>
      </c>
      <c r="D25" s="6">
        <v>97.0</v>
      </c>
      <c r="E25" s="6">
        <v>22.0</v>
      </c>
      <c r="F25" s="6">
        <v>22.0</v>
      </c>
      <c r="G25" s="6">
        <v>97.0</v>
      </c>
      <c r="H25" s="6">
        <v>1.0</v>
      </c>
      <c r="I25" s="6">
        <v>4.0</v>
      </c>
      <c r="J25" s="6">
        <v>45.0</v>
      </c>
      <c r="K25" s="6">
        <v>110.0</v>
      </c>
      <c r="L25" s="4" t="s">
        <v>50</v>
      </c>
      <c r="M25" s="6">
        <v>13000.0</v>
      </c>
      <c r="N25" s="6">
        <v>400.0</v>
      </c>
      <c r="O25" s="6">
        <v>600.0</v>
      </c>
      <c r="P25" s="6">
        <v>202.0</v>
      </c>
      <c r="Q25" s="6">
        <v>4.0</v>
      </c>
      <c r="R25" s="6">
        <v>16.0</v>
      </c>
      <c r="S25" s="7"/>
      <c r="T25" s="6">
        <v>5.0</v>
      </c>
      <c r="U25" s="6">
        <v>365.0</v>
      </c>
      <c r="V25" s="7"/>
      <c r="W25" s="7"/>
      <c r="X25" s="8">
        <f t="shared" si="1"/>
        <v>1.98019802</v>
      </c>
      <c r="Y25" s="9">
        <f t="shared" si="2"/>
        <v>602</v>
      </c>
      <c r="Z25" s="8">
        <f t="shared" si="3"/>
        <v>18.18181818</v>
      </c>
      <c r="AA25" s="8">
        <f t="shared" si="4"/>
        <v>9.181818182</v>
      </c>
      <c r="AB25" s="8">
        <f t="shared" si="5"/>
        <v>0.2272727273</v>
      </c>
      <c r="AC25" s="8">
        <f t="shared" si="6"/>
        <v>100</v>
      </c>
      <c r="AD25" s="8">
        <f t="shared" si="7"/>
        <v>50.5</v>
      </c>
      <c r="AE25" s="8">
        <f t="shared" si="8"/>
        <v>1.25</v>
      </c>
      <c r="AF25" s="8">
        <f t="shared" si="9"/>
        <v>400</v>
      </c>
      <c r="AG25" s="8">
        <f t="shared" si="10"/>
        <v>202</v>
      </c>
      <c r="AH25" s="8">
        <f t="shared" si="11"/>
        <v>5</v>
      </c>
      <c r="AI25" s="10">
        <f t="shared" si="12"/>
        <v>8.888888889</v>
      </c>
      <c r="AJ25" s="11">
        <f t="shared" si="13"/>
        <v>4.488888889</v>
      </c>
      <c r="AK25" s="12">
        <f t="shared" si="14"/>
        <v>0.1111111111</v>
      </c>
    </row>
    <row r="26">
      <c r="A26" s="4" t="s">
        <v>79</v>
      </c>
      <c r="B26" s="4" t="s">
        <v>48</v>
      </c>
      <c r="C26" s="4" t="s">
        <v>56</v>
      </c>
      <c r="D26" s="6">
        <v>161.0</v>
      </c>
      <c r="E26" s="6">
        <v>37.0</v>
      </c>
      <c r="F26" s="6">
        <v>37.0</v>
      </c>
      <c r="G26" s="6">
        <v>161.0</v>
      </c>
      <c r="H26" s="6">
        <v>3.0</v>
      </c>
      <c r="I26" s="6">
        <v>7.0</v>
      </c>
      <c r="J26" s="6">
        <v>104.0</v>
      </c>
      <c r="K26" s="6">
        <v>232.0</v>
      </c>
      <c r="L26" s="4" t="s">
        <v>50</v>
      </c>
      <c r="M26" s="6">
        <v>46000.0</v>
      </c>
      <c r="N26" s="6">
        <v>600.0</v>
      </c>
      <c r="O26" s="6">
        <v>700.0</v>
      </c>
      <c r="P26" s="6">
        <v>308.0</v>
      </c>
      <c r="Q26" s="6">
        <v>3.0</v>
      </c>
      <c r="R26" s="6">
        <v>12.0</v>
      </c>
      <c r="S26" s="7"/>
      <c r="T26" s="6">
        <v>5.0</v>
      </c>
      <c r="U26" s="6">
        <v>253.0</v>
      </c>
      <c r="V26" s="7"/>
      <c r="W26" s="7"/>
      <c r="X26" s="8">
        <f t="shared" si="1"/>
        <v>1.948051948</v>
      </c>
      <c r="Y26" s="9">
        <f t="shared" si="2"/>
        <v>908</v>
      </c>
      <c r="Z26" s="8">
        <f t="shared" si="3"/>
        <v>16.21621622</v>
      </c>
      <c r="AA26" s="8">
        <f t="shared" si="4"/>
        <v>8.324324324</v>
      </c>
      <c r="AB26" s="8">
        <f t="shared" si="5"/>
        <v>0.1351351351</v>
      </c>
      <c r="AC26" s="8">
        <f t="shared" si="6"/>
        <v>85.71428571</v>
      </c>
      <c r="AD26" s="8">
        <f t="shared" si="7"/>
        <v>44</v>
      </c>
      <c r="AE26" s="8">
        <f t="shared" si="8"/>
        <v>0.7142857143</v>
      </c>
      <c r="AF26" s="8">
        <f t="shared" si="9"/>
        <v>200</v>
      </c>
      <c r="AG26" s="8">
        <f t="shared" si="10"/>
        <v>102.6666667</v>
      </c>
      <c r="AH26" s="8">
        <f t="shared" si="11"/>
        <v>1.666666667</v>
      </c>
      <c r="AI26" s="10">
        <f t="shared" si="12"/>
        <v>5.769230769</v>
      </c>
      <c r="AJ26" s="11">
        <f t="shared" si="13"/>
        <v>2.961538462</v>
      </c>
      <c r="AK26" s="12">
        <f t="shared" si="14"/>
        <v>0.04807692308</v>
      </c>
    </row>
    <row r="27">
      <c r="A27" s="4" t="s">
        <v>80</v>
      </c>
      <c r="B27" s="4" t="s">
        <v>48</v>
      </c>
      <c r="C27" s="4" t="s">
        <v>56</v>
      </c>
      <c r="D27" s="6">
        <v>243.0</v>
      </c>
      <c r="E27" s="6">
        <v>57.0</v>
      </c>
      <c r="F27" s="6">
        <v>57.0</v>
      </c>
      <c r="G27" s="6">
        <v>243.0</v>
      </c>
      <c r="H27" s="6">
        <v>2.0</v>
      </c>
      <c r="I27" s="6">
        <v>11.0</v>
      </c>
      <c r="J27" s="6">
        <v>211.0</v>
      </c>
      <c r="K27" s="6">
        <v>255.0</v>
      </c>
      <c r="L27" s="4" t="s">
        <v>50</v>
      </c>
      <c r="M27" s="6">
        <v>46000.0</v>
      </c>
      <c r="N27" s="6">
        <v>800.0</v>
      </c>
      <c r="O27" s="6">
        <v>700.0</v>
      </c>
      <c r="P27" s="6">
        <v>450.0</v>
      </c>
      <c r="Q27" s="6">
        <v>3.0</v>
      </c>
      <c r="R27" s="6">
        <v>12.0</v>
      </c>
      <c r="S27" s="7"/>
      <c r="T27" s="6">
        <v>5.0</v>
      </c>
      <c r="U27" s="6">
        <v>253.0</v>
      </c>
      <c r="V27" s="7"/>
      <c r="W27" s="7"/>
      <c r="X27" s="8">
        <f t="shared" si="1"/>
        <v>1.777777778</v>
      </c>
      <c r="Y27" s="9">
        <f t="shared" si="2"/>
        <v>1250</v>
      </c>
      <c r="Z27" s="8">
        <f t="shared" si="3"/>
        <v>14.03508772</v>
      </c>
      <c r="AA27" s="8">
        <f t="shared" si="4"/>
        <v>7.894736842</v>
      </c>
      <c r="AB27" s="8">
        <f t="shared" si="5"/>
        <v>0.08771929825</v>
      </c>
      <c r="AC27" s="8">
        <f t="shared" si="6"/>
        <v>72.72727273</v>
      </c>
      <c r="AD27" s="8">
        <f t="shared" si="7"/>
        <v>40.90909091</v>
      </c>
      <c r="AE27" s="8">
        <f t="shared" si="8"/>
        <v>0.4545454545</v>
      </c>
      <c r="AF27" s="8">
        <f t="shared" si="9"/>
        <v>400</v>
      </c>
      <c r="AG27" s="8">
        <f t="shared" si="10"/>
        <v>225</v>
      </c>
      <c r="AH27" s="8">
        <f t="shared" si="11"/>
        <v>2.5</v>
      </c>
      <c r="AI27" s="10">
        <f t="shared" si="12"/>
        <v>3.791469194</v>
      </c>
      <c r="AJ27" s="11">
        <f t="shared" si="13"/>
        <v>2.132701422</v>
      </c>
      <c r="AK27" s="12">
        <f t="shared" si="14"/>
        <v>0.02369668246</v>
      </c>
    </row>
    <row r="28">
      <c r="A28" s="4" t="s">
        <v>81</v>
      </c>
      <c r="B28" s="4" t="s">
        <v>48</v>
      </c>
      <c r="C28" s="4" t="s">
        <v>82</v>
      </c>
      <c r="D28" s="6">
        <v>151.0</v>
      </c>
      <c r="E28" s="6">
        <v>35.0</v>
      </c>
      <c r="F28" s="6">
        <v>35.0</v>
      </c>
      <c r="G28" s="6">
        <v>151.0</v>
      </c>
      <c r="H28" s="6">
        <v>0.0</v>
      </c>
      <c r="I28" s="6">
        <v>6.0</v>
      </c>
      <c r="J28" s="6">
        <v>94.0</v>
      </c>
      <c r="K28" s="6">
        <v>95.0</v>
      </c>
      <c r="L28" s="4" t="s">
        <v>50</v>
      </c>
      <c r="M28" s="6">
        <v>25000.0</v>
      </c>
      <c r="N28" s="6">
        <v>250.0</v>
      </c>
      <c r="O28" s="6">
        <v>280.0</v>
      </c>
      <c r="P28" s="6">
        <v>384.0</v>
      </c>
      <c r="Q28" s="6">
        <v>1.0</v>
      </c>
      <c r="R28" s="6">
        <v>2.0</v>
      </c>
      <c r="S28" s="7"/>
      <c r="T28" s="6">
        <v>2.0</v>
      </c>
      <c r="U28" s="6">
        <v>359.0</v>
      </c>
      <c r="V28" s="7"/>
      <c r="W28" s="7"/>
      <c r="X28" s="8">
        <f t="shared" si="1"/>
        <v>0.6510416667</v>
      </c>
      <c r="Y28" s="9">
        <f t="shared" si="2"/>
        <v>634</v>
      </c>
      <c r="Z28" s="8">
        <f t="shared" si="3"/>
        <v>7.142857143</v>
      </c>
      <c r="AA28" s="8">
        <f t="shared" si="4"/>
        <v>10.97142857</v>
      </c>
      <c r="AB28" s="8">
        <f t="shared" si="5"/>
        <v>0.05714285714</v>
      </c>
      <c r="AC28" s="8">
        <f t="shared" si="6"/>
        <v>41.66666667</v>
      </c>
      <c r="AD28" s="8">
        <f t="shared" si="7"/>
        <v>64</v>
      </c>
      <c r="AE28" s="8">
        <f t="shared" si="8"/>
        <v>0.3333333333</v>
      </c>
      <c r="AF28" s="8" t="str">
        <f t="shared" si="9"/>
        <v>#DIV/0!</v>
      </c>
      <c r="AG28" s="8" t="str">
        <f t="shared" si="10"/>
        <v>#DIV/0!</v>
      </c>
      <c r="AH28" s="8" t="str">
        <f t="shared" si="11"/>
        <v>#DIV/0!</v>
      </c>
      <c r="AI28" s="10">
        <f t="shared" si="12"/>
        <v>2.659574468</v>
      </c>
      <c r="AJ28" s="11">
        <f t="shared" si="13"/>
        <v>4.085106383</v>
      </c>
      <c r="AK28" s="12">
        <f t="shared" si="14"/>
        <v>0.02127659574</v>
      </c>
    </row>
    <row r="29">
      <c r="A29" s="4" t="s">
        <v>83</v>
      </c>
      <c r="B29" s="4" t="s">
        <v>48</v>
      </c>
      <c r="C29" s="4" t="s">
        <v>82</v>
      </c>
      <c r="D29" s="6">
        <v>322.0</v>
      </c>
      <c r="E29" s="6">
        <v>76.0</v>
      </c>
      <c r="F29" s="6">
        <v>76.0</v>
      </c>
      <c r="G29" s="6">
        <v>322.0</v>
      </c>
      <c r="H29" s="6">
        <v>0.0</v>
      </c>
      <c r="I29" s="6">
        <v>14.0</v>
      </c>
      <c r="J29" s="6">
        <v>202.0</v>
      </c>
      <c r="K29" s="6">
        <v>95.0</v>
      </c>
      <c r="L29" s="4" t="s">
        <v>50</v>
      </c>
      <c r="M29" s="6">
        <v>6000.0</v>
      </c>
      <c r="N29" s="6">
        <v>250.0</v>
      </c>
      <c r="O29" s="6">
        <v>280.0</v>
      </c>
      <c r="P29" s="6">
        <v>384.0</v>
      </c>
      <c r="Q29" s="6">
        <v>1.0</v>
      </c>
      <c r="R29" s="6">
        <v>6.0</v>
      </c>
      <c r="S29" s="7"/>
      <c r="T29" s="6">
        <v>2.0</v>
      </c>
      <c r="U29" s="6">
        <v>359.0</v>
      </c>
      <c r="V29" s="7"/>
      <c r="W29" s="7"/>
      <c r="X29" s="8">
        <f t="shared" si="1"/>
        <v>0.6510416667</v>
      </c>
      <c r="Y29" s="9">
        <f t="shared" si="2"/>
        <v>634</v>
      </c>
      <c r="Z29" s="8">
        <f t="shared" si="3"/>
        <v>3.289473684</v>
      </c>
      <c r="AA29" s="8">
        <f t="shared" si="4"/>
        <v>5.052631579</v>
      </c>
      <c r="AB29" s="8">
        <f t="shared" si="5"/>
        <v>0.02631578947</v>
      </c>
      <c r="AC29" s="8">
        <f t="shared" si="6"/>
        <v>17.85714286</v>
      </c>
      <c r="AD29" s="8">
        <f t="shared" si="7"/>
        <v>27.42857143</v>
      </c>
      <c r="AE29" s="8">
        <f t="shared" si="8"/>
        <v>0.1428571429</v>
      </c>
      <c r="AF29" s="8" t="str">
        <f t="shared" si="9"/>
        <v>#DIV/0!</v>
      </c>
      <c r="AG29" s="8" t="str">
        <f t="shared" si="10"/>
        <v>#DIV/0!</v>
      </c>
      <c r="AH29" s="8" t="str">
        <f t="shared" si="11"/>
        <v>#DIV/0!</v>
      </c>
      <c r="AI29" s="10">
        <f t="shared" si="12"/>
        <v>1.237623762</v>
      </c>
      <c r="AJ29" s="11">
        <f t="shared" si="13"/>
        <v>1.900990099</v>
      </c>
      <c r="AK29" s="12">
        <f t="shared" si="14"/>
        <v>0.009900990099</v>
      </c>
    </row>
    <row r="30">
      <c r="A30" s="4" t="s">
        <v>84</v>
      </c>
      <c r="B30" s="4" t="s">
        <v>48</v>
      </c>
      <c r="C30" s="4" t="s">
        <v>82</v>
      </c>
      <c r="D30" s="6">
        <v>162.0</v>
      </c>
      <c r="E30" s="6">
        <v>38.0</v>
      </c>
      <c r="F30" s="6">
        <v>38.0</v>
      </c>
      <c r="G30" s="6">
        <v>162.0</v>
      </c>
      <c r="H30" s="6">
        <v>0.0</v>
      </c>
      <c r="I30" s="6">
        <v>7.0</v>
      </c>
      <c r="J30" s="6">
        <v>101.0</v>
      </c>
      <c r="K30" s="6">
        <v>104.0</v>
      </c>
      <c r="L30" s="4" t="s">
        <v>50</v>
      </c>
      <c r="M30" s="6">
        <v>45000.0</v>
      </c>
      <c r="N30" s="6">
        <v>250.0</v>
      </c>
      <c r="O30" s="6">
        <v>610.0</v>
      </c>
      <c r="P30" s="6">
        <v>380.0</v>
      </c>
      <c r="Q30" s="6">
        <v>2.0</v>
      </c>
      <c r="R30" s="6">
        <v>12.0</v>
      </c>
      <c r="S30" s="7"/>
      <c r="T30" s="6">
        <v>14.0</v>
      </c>
      <c r="U30" s="6">
        <v>299.0</v>
      </c>
      <c r="V30" s="7"/>
      <c r="W30" s="7"/>
      <c r="X30" s="8">
        <f t="shared" si="1"/>
        <v>0.6578947368</v>
      </c>
      <c r="Y30" s="9">
        <f t="shared" si="2"/>
        <v>630</v>
      </c>
      <c r="Z30" s="8">
        <f t="shared" si="3"/>
        <v>6.578947368</v>
      </c>
      <c r="AA30" s="8">
        <f t="shared" si="4"/>
        <v>10</v>
      </c>
      <c r="AB30" s="8">
        <f t="shared" si="5"/>
        <v>0.3684210526</v>
      </c>
      <c r="AC30" s="8">
        <f t="shared" si="6"/>
        <v>35.71428571</v>
      </c>
      <c r="AD30" s="8">
        <f t="shared" si="7"/>
        <v>54.28571429</v>
      </c>
      <c r="AE30" s="8">
        <f t="shared" si="8"/>
        <v>2</v>
      </c>
      <c r="AF30" s="8" t="str">
        <f t="shared" si="9"/>
        <v>#DIV/0!</v>
      </c>
      <c r="AG30" s="8" t="str">
        <f t="shared" si="10"/>
        <v>#DIV/0!</v>
      </c>
      <c r="AH30" s="8" t="str">
        <f t="shared" si="11"/>
        <v>#DIV/0!</v>
      </c>
      <c r="AI30" s="10">
        <f t="shared" si="12"/>
        <v>2.475247525</v>
      </c>
      <c r="AJ30" s="11">
        <f t="shared" si="13"/>
        <v>3.762376238</v>
      </c>
      <c r="AK30" s="12">
        <f t="shared" si="14"/>
        <v>0.1386138614</v>
      </c>
    </row>
    <row r="31">
      <c r="A31" s="4" t="s">
        <v>85</v>
      </c>
      <c r="B31" s="4" t="s">
        <v>48</v>
      </c>
      <c r="C31" s="4" t="s">
        <v>82</v>
      </c>
      <c r="D31" s="6">
        <v>334.0</v>
      </c>
      <c r="E31" s="6">
        <v>78.0</v>
      </c>
      <c r="F31" s="6">
        <v>78.0</v>
      </c>
      <c r="G31" s="6">
        <v>334.0</v>
      </c>
      <c r="H31" s="6">
        <v>0.0</v>
      </c>
      <c r="I31" s="6">
        <v>14.0</v>
      </c>
      <c r="J31" s="6">
        <v>209.0</v>
      </c>
      <c r="K31" s="6">
        <v>104.0</v>
      </c>
      <c r="L31" s="4" t="s">
        <v>50</v>
      </c>
      <c r="M31" s="6">
        <v>8000.0</v>
      </c>
      <c r="N31" s="6">
        <v>250.0</v>
      </c>
      <c r="O31" s="6">
        <v>610.0</v>
      </c>
      <c r="P31" s="6">
        <v>380.0</v>
      </c>
      <c r="Q31" s="6">
        <v>2.0</v>
      </c>
      <c r="R31" s="6">
        <v>12.0</v>
      </c>
      <c r="S31" s="7"/>
      <c r="T31" s="6">
        <v>9.0</v>
      </c>
      <c r="U31" s="6">
        <v>299.0</v>
      </c>
      <c r="V31" s="7"/>
      <c r="W31" s="7"/>
      <c r="X31" s="8">
        <f t="shared" si="1"/>
        <v>0.6578947368</v>
      </c>
      <c r="Y31" s="9">
        <f t="shared" si="2"/>
        <v>630</v>
      </c>
      <c r="Z31" s="8">
        <f t="shared" si="3"/>
        <v>3.205128205</v>
      </c>
      <c r="AA31" s="8">
        <f t="shared" si="4"/>
        <v>4.871794872</v>
      </c>
      <c r="AB31" s="8">
        <f t="shared" si="5"/>
        <v>0.1153846154</v>
      </c>
      <c r="AC31" s="8">
        <f t="shared" si="6"/>
        <v>17.85714286</v>
      </c>
      <c r="AD31" s="8">
        <f t="shared" si="7"/>
        <v>27.14285714</v>
      </c>
      <c r="AE31" s="8">
        <f t="shared" si="8"/>
        <v>0.6428571429</v>
      </c>
      <c r="AF31" s="8" t="str">
        <f t="shared" si="9"/>
        <v>#DIV/0!</v>
      </c>
      <c r="AG31" s="8" t="str">
        <f t="shared" si="10"/>
        <v>#DIV/0!</v>
      </c>
      <c r="AH31" s="8" t="str">
        <f t="shared" si="11"/>
        <v>#DIV/0!</v>
      </c>
      <c r="AI31" s="10">
        <f t="shared" si="12"/>
        <v>1.196172249</v>
      </c>
      <c r="AJ31" s="11">
        <f t="shared" si="13"/>
        <v>1.818181818</v>
      </c>
      <c r="AK31" s="12">
        <f t="shared" si="14"/>
        <v>0.04306220096</v>
      </c>
    </row>
    <row r="32">
      <c r="A32" s="4" t="s">
        <v>86</v>
      </c>
      <c r="B32" s="4" t="s">
        <v>48</v>
      </c>
      <c r="C32" s="4" t="s">
        <v>60</v>
      </c>
      <c r="D32" s="6">
        <v>130.0</v>
      </c>
      <c r="E32" s="6">
        <v>30.0</v>
      </c>
      <c r="F32" s="6">
        <v>30.0</v>
      </c>
      <c r="G32" s="6">
        <v>130.0</v>
      </c>
      <c r="H32" s="6">
        <v>1.0</v>
      </c>
      <c r="I32" s="6">
        <v>5.0</v>
      </c>
      <c r="J32" s="6">
        <v>79.0</v>
      </c>
      <c r="K32" s="6">
        <v>133.0</v>
      </c>
      <c r="L32" s="4" t="s">
        <v>50</v>
      </c>
      <c r="M32" s="6">
        <v>35000.0</v>
      </c>
      <c r="N32" s="6">
        <v>800.0</v>
      </c>
      <c r="O32" s="6">
        <v>990.0</v>
      </c>
      <c r="P32" s="6">
        <v>254.0</v>
      </c>
      <c r="Q32" s="6">
        <v>3.0</v>
      </c>
      <c r="R32" s="6">
        <v>12.0</v>
      </c>
      <c r="S32" s="7"/>
      <c r="T32" s="6">
        <v>5.0</v>
      </c>
      <c r="U32" s="6">
        <v>323.0</v>
      </c>
      <c r="V32" s="7"/>
      <c r="W32" s="7"/>
      <c r="X32" s="8">
        <f t="shared" si="1"/>
        <v>3.149606299</v>
      </c>
      <c r="Y32" s="9">
        <f t="shared" si="2"/>
        <v>1054</v>
      </c>
      <c r="Z32" s="8">
        <f t="shared" si="3"/>
        <v>26.66666667</v>
      </c>
      <c r="AA32" s="8">
        <f t="shared" si="4"/>
        <v>8.466666667</v>
      </c>
      <c r="AB32" s="8">
        <f t="shared" si="5"/>
        <v>0.1666666667</v>
      </c>
      <c r="AC32" s="8">
        <f t="shared" si="6"/>
        <v>160</v>
      </c>
      <c r="AD32" s="8">
        <f t="shared" si="7"/>
        <v>50.8</v>
      </c>
      <c r="AE32" s="8">
        <f t="shared" si="8"/>
        <v>1</v>
      </c>
      <c r="AF32" s="8">
        <f t="shared" si="9"/>
        <v>800</v>
      </c>
      <c r="AG32" s="8">
        <f t="shared" si="10"/>
        <v>254</v>
      </c>
      <c r="AH32" s="8">
        <f t="shared" si="11"/>
        <v>5</v>
      </c>
      <c r="AI32" s="10">
        <f t="shared" si="12"/>
        <v>10.12658228</v>
      </c>
      <c r="AJ32" s="11">
        <f t="shared" si="13"/>
        <v>3.215189873</v>
      </c>
      <c r="AK32" s="12">
        <f t="shared" si="14"/>
        <v>0.06329113924</v>
      </c>
    </row>
    <row r="33">
      <c r="A33" s="4" t="s">
        <v>87</v>
      </c>
      <c r="B33" s="4" t="s">
        <v>48</v>
      </c>
      <c r="C33" s="4" t="s">
        <v>60</v>
      </c>
      <c r="D33" s="6">
        <v>194.0</v>
      </c>
      <c r="E33" s="6">
        <v>45.0</v>
      </c>
      <c r="F33" s="6">
        <v>45.0</v>
      </c>
      <c r="G33" s="6">
        <v>194.0</v>
      </c>
      <c r="H33" s="6">
        <v>1.0</v>
      </c>
      <c r="I33" s="6">
        <v>8.0</v>
      </c>
      <c r="J33" s="6">
        <v>160.0</v>
      </c>
      <c r="K33" s="6">
        <v>165.0</v>
      </c>
      <c r="L33" s="4" t="s">
        <v>50</v>
      </c>
      <c r="M33" s="6">
        <v>35000.0</v>
      </c>
      <c r="N33" s="6">
        <v>1000.0</v>
      </c>
      <c r="O33" s="6">
        <v>990.0</v>
      </c>
      <c r="P33" s="6">
        <v>400.0</v>
      </c>
      <c r="Q33" s="6">
        <v>3.0</v>
      </c>
      <c r="R33" s="6">
        <v>12.0</v>
      </c>
      <c r="S33" s="7"/>
      <c r="T33" s="6">
        <v>5.0</v>
      </c>
      <c r="U33" s="6">
        <v>323.0</v>
      </c>
      <c r="V33" s="7"/>
      <c r="W33" s="7"/>
      <c r="X33" s="8">
        <f t="shared" si="1"/>
        <v>2.5</v>
      </c>
      <c r="Y33" s="9">
        <f t="shared" si="2"/>
        <v>1400</v>
      </c>
      <c r="Z33" s="8">
        <f t="shared" si="3"/>
        <v>22.22222222</v>
      </c>
      <c r="AA33" s="8">
        <f t="shared" si="4"/>
        <v>8.888888889</v>
      </c>
      <c r="AB33" s="8">
        <f t="shared" si="5"/>
        <v>0.1111111111</v>
      </c>
      <c r="AC33" s="8">
        <f t="shared" si="6"/>
        <v>125</v>
      </c>
      <c r="AD33" s="8">
        <f t="shared" si="7"/>
        <v>50</v>
      </c>
      <c r="AE33" s="8">
        <f t="shared" si="8"/>
        <v>0.625</v>
      </c>
      <c r="AF33" s="8">
        <f t="shared" si="9"/>
        <v>1000</v>
      </c>
      <c r="AG33" s="8">
        <f t="shared" si="10"/>
        <v>400</v>
      </c>
      <c r="AH33" s="8">
        <f t="shared" si="11"/>
        <v>5</v>
      </c>
      <c r="AI33" s="10">
        <f t="shared" si="12"/>
        <v>6.25</v>
      </c>
      <c r="AJ33" s="11">
        <f t="shared" si="13"/>
        <v>2.5</v>
      </c>
      <c r="AK33" s="12">
        <f t="shared" si="14"/>
        <v>0.03125</v>
      </c>
    </row>
    <row r="34">
      <c r="A34" s="4" t="s">
        <v>88</v>
      </c>
      <c r="B34" s="4" t="s">
        <v>48</v>
      </c>
      <c r="C34" s="4" t="s">
        <v>64</v>
      </c>
      <c r="D34" s="6">
        <v>137.0</v>
      </c>
      <c r="E34" s="6">
        <v>31.0</v>
      </c>
      <c r="F34" s="6">
        <v>31.0</v>
      </c>
      <c r="G34" s="6">
        <v>137.0</v>
      </c>
      <c r="H34" s="6">
        <v>2.0</v>
      </c>
      <c r="I34" s="6">
        <v>6.0</v>
      </c>
      <c r="J34" s="6">
        <v>86.0</v>
      </c>
      <c r="K34" s="6">
        <v>124.0</v>
      </c>
      <c r="L34" s="4" t="s">
        <v>50</v>
      </c>
      <c r="M34" s="6">
        <v>37000.0</v>
      </c>
      <c r="N34" s="6">
        <v>800.0</v>
      </c>
      <c r="O34" s="6">
        <v>990.0</v>
      </c>
      <c r="P34" s="6">
        <v>255.0</v>
      </c>
      <c r="Q34" s="6">
        <v>3.0</v>
      </c>
      <c r="R34" s="6">
        <v>12.0</v>
      </c>
      <c r="S34" s="7"/>
      <c r="T34" s="6">
        <v>5.0</v>
      </c>
      <c r="U34" s="6">
        <v>309.0</v>
      </c>
      <c r="V34" s="7"/>
      <c r="W34" s="7"/>
      <c r="X34" s="8">
        <f t="shared" si="1"/>
        <v>3.137254902</v>
      </c>
      <c r="Y34" s="9">
        <f t="shared" si="2"/>
        <v>1055</v>
      </c>
      <c r="Z34" s="8">
        <f t="shared" si="3"/>
        <v>25.80645161</v>
      </c>
      <c r="AA34" s="8">
        <f t="shared" si="4"/>
        <v>8.225806452</v>
      </c>
      <c r="AB34" s="8">
        <f t="shared" si="5"/>
        <v>0.1612903226</v>
      </c>
      <c r="AC34" s="8">
        <f t="shared" si="6"/>
        <v>133.3333333</v>
      </c>
      <c r="AD34" s="8">
        <f t="shared" si="7"/>
        <v>42.5</v>
      </c>
      <c r="AE34" s="8">
        <f t="shared" si="8"/>
        <v>0.8333333333</v>
      </c>
      <c r="AF34" s="8">
        <f t="shared" si="9"/>
        <v>400</v>
      </c>
      <c r="AG34" s="8">
        <f t="shared" si="10"/>
        <v>127.5</v>
      </c>
      <c r="AH34" s="8">
        <f t="shared" si="11"/>
        <v>2.5</v>
      </c>
      <c r="AI34" s="10">
        <f t="shared" si="12"/>
        <v>9.302325581</v>
      </c>
      <c r="AJ34" s="11">
        <f t="shared" si="13"/>
        <v>2.965116279</v>
      </c>
      <c r="AK34" s="12">
        <f t="shared" si="14"/>
        <v>0.05813953488</v>
      </c>
    </row>
    <row r="35">
      <c r="A35" s="4" t="s">
        <v>89</v>
      </c>
      <c r="B35" s="4" t="s">
        <v>48</v>
      </c>
      <c r="C35" s="4" t="s">
        <v>64</v>
      </c>
      <c r="D35" s="6">
        <v>205.0</v>
      </c>
      <c r="E35" s="6">
        <v>48.0</v>
      </c>
      <c r="F35" s="6">
        <v>48.0</v>
      </c>
      <c r="G35" s="6">
        <v>205.0</v>
      </c>
      <c r="H35" s="6">
        <v>1.0</v>
      </c>
      <c r="I35" s="6">
        <v>9.0</v>
      </c>
      <c r="J35" s="6">
        <v>172.0</v>
      </c>
      <c r="K35" s="6">
        <v>155.0</v>
      </c>
      <c r="L35" s="4" t="s">
        <v>50</v>
      </c>
      <c r="M35" s="6">
        <v>37000.0</v>
      </c>
      <c r="N35" s="6">
        <v>1000.0</v>
      </c>
      <c r="O35" s="6">
        <v>990.0</v>
      </c>
      <c r="P35" s="6">
        <v>380.0</v>
      </c>
      <c r="Q35" s="6">
        <v>3.0</v>
      </c>
      <c r="R35" s="6">
        <v>12.0</v>
      </c>
      <c r="S35" s="7"/>
      <c r="T35" s="6">
        <v>5.0</v>
      </c>
      <c r="U35" s="6">
        <v>309.0</v>
      </c>
      <c r="V35" s="7"/>
      <c r="W35" s="7"/>
      <c r="X35" s="8">
        <f t="shared" si="1"/>
        <v>2.631578947</v>
      </c>
      <c r="Y35" s="9">
        <f t="shared" si="2"/>
        <v>1380</v>
      </c>
      <c r="Z35" s="8">
        <f t="shared" si="3"/>
        <v>20.83333333</v>
      </c>
      <c r="AA35" s="8">
        <f t="shared" si="4"/>
        <v>7.916666667</v>
      </c>
      <c r="AB35" s="8">
        <f t="shared" si="5"/>
        <v>0.1041666667</v>
      </c>
      <c r="AC35" s="8">
        <f t="shared" si="6"/>
        <v>111.1111111</v>
      </c>
      <c r="AD35" s="8">
        <f t="shared" si="7"/>
        <v>42.22222222</v>
      </c>
      <c r="AE35" s="8">
        <f t="shared" si="8"/>
        <v>0.5555555556</v>
      </c>
      <c r="AF35" s="8">
        <f t="shared" si="9"/>
        <v>1000</v>
      </c>
      <c r="AG35" s="8">
        <f t="shared" si="10"/>
        <v>380</v>
      </c>
      <c r="AH35" s="8">
        <f t="shared" si="11"/>
        <v>5</v>
      </c>
      <c r="AI35" s="10">
        <f t="shared" si="12"/>
        <v>5.813953488</v>
      </c>
      <c r="AJ35" s="11">
        <f t="shared" si="13"/>
        <v>2.209302326</v>
      </c>
      <c r="AK35" s="12">
        <f t="shared" si="14"/>
        <v>0.02906976744</v>
      </c>
    </row>
    <row r="36">
      <c r="A36" s="4" t="s">
        <v>90</v>
      </c>
      <c r="B36" s="4" t="s">
        <v>48</v>
      </c>
      <c r="C36" s="4" t="s">
        <v>91</v>
      </c>
      <c r="D36" s="6">
        <v>68.0</v>
      </c>
      <c r="E36" s="6">
        <v>15.0</v>
      </c>
      <c r="F36" s="6">
        <v>15.0</v>
      </c>
      <c r="G36" s="6">
        <v>68.0</v>
      </c>
      <c r="H36" s="6">
        <v>1.0</v>
      </c>
      <c r="I36" s="6">
        <v>3.0</v>
      </c>
      <c r="J36" s="6">
        <v>42.0</v>
      </c>
      <c r="K36" s="6">
        <v>135.0</v>
      </c>
      <c r="L36" s="4" t="s">
        <v>50</v>
      </c>
      <c r="M36" s="6">
        <v>15000.0</v>
      </c>
      <c r="N36" s="6">
        <v>125.0</v>
      </c>
      <c r="O36" s="6">
        <v>150.0</v>
      </c>
      <c r="P36" s="6">
        <v>100.0</v>
      </c>
      <c r="Q36" s="6">
        <v>1.0</v>
      </c>
      <c r="R36" s="6">
        <v>4.0</v>
      </c>
      <c r="S36" s="7"/>
      <c r="T36" s="6">
        <v>1.0</v>
      </c>
      <c r="U36" s="6">
        <v>323.0</v>
      </c>
      <c r="V36" s="7"/>
      <c r="W36" s="7"/>
      <c r="X36" s="8">
        <f t="shared" si="1"/>
        <v>1.25</v>
      </c>
      <c r="Y36" s="9">
        <f t="shared" si="2"/>
        <v>225</v>
      </c>
      <c r="Z36" s="8">
        <f t="shared" si="3"/>
        <v>8.333333333</v>
      </c>
      <c r="AA36" s="8">
        <f t="shared" si="4"/>
        <v>6.666666667</v>
      </c>
      <c r="AB36" s="8">
        <f t="shared" si="5"/>
        <v>0.06666666667</v>
      </c>
      <c r="AC36" s="8">
        <f t="shared" si="6"/>
        <v>41.66666667</v>
      </c>
      <c r="AD36" s="8">
        <f t="shared" si="7"/>
        <v>33.33333333</v>
      </c>
      <c r="AE36" s="8">
        <f t="shared" si="8"/>
        <v>0.3333333333</v>
      </c>
      <c r="AF36" s="8">
        <f t="shared" si="9"/>
        <v>125</v>
      </c>
      <c r="AG36" s="8">
        <f t="shared" si="10"/>
        <v>100</v>
      </c>
      <c r="AH36" s="8">
        <f t="shared" si="11"/>
        <v>1</v>
      </c>
      <c r="AI36" s="10">
        <f t="shared" si="12"/>
        <v>2.976190476</v>
      </c>
      <c r="AJ36" s="11">
        <f t="shared" si="13"/>
        <v>2.380952381</v>
      </c>
      <c r="AK36" s="12">
        <f t="shared" si="14"/>
        <v>0.02380952381</v>
      </c>
    </row>
    <row r="37">
      <c r="A37" s="4" t="s">
        <v>90</v>
      </c>
      <c r="B37" s="4" t="s">
        <v>48</v>
      </c>
      <c r="C37" s="4" t="s">
        <v>92</v>
      </c>
      <c r="D37" s="6">
        <v>68.0</v>
      </c>
      <c r="E37" s="6">
        <v>15.0</v>
      </c>
      <c r="F37" s="6">
        <v>15.0</v>
      </c>
      <c r="G37" s="6">
        <v>68.0</v>
      </c>
      <c r="H37" s="6">
        <v>2.0</v>
      </c>
      <c r="I37" s="6">
        <v>3.0</v>
      </c>
      <c r="J37" s="6">
        <v>42.0</v>
      </c>
      <c r="K37" s="6">
        <v>149.0</v>
      </c>
      <c r="L37" s="4" t="s">
        <v>50</v>
      </c>
      <c r="M37" s="6">
        <v>15000.0</v>
      </c>
      <c r="N37" s="6">
        <v>200.0</v>
      </c>
      <c r="O37" s="6">
        <v>820.0</v>
      </c>
      <c r="P37" s="6">
        <v>100.0</v>
      </c>
      <c r="Q37" s="6">
        <v>1.0</v>
      </c>
      <c r="R37" s="6">
        <v>4.0</v>
      </c>
      <c r="S37" s="7"/>
      <c r="T37" s="6">
        <v>1.0</v>
      </c>
      <c r="U37" s="6">
        <v>323.0</v>
      </c>
      <c r="V37" s="7"/>
      <c r="W37" s="7"/>
      <c r="X37" s="8">
        <f t="shared" si="1"/>
        <v>2</v>
      </c>
      <c r="Y37" s="9">
        <f t="shared" si="2"/>
        <v>300</v>
      </c>
      <c r="Z37" s="8">
        <f t="shared" si="3"/>
        <v>13.33333333</v>
      </c>
      <c r="AA37" s="8">
        <f t="shared" si="4"/>
        <v>6.666666667</v>
      </c>
      <c r="AB37" s="8">
        <f t="shared" si="5"/>
        <v>0.06666666667</v>
      </c>
      <c r="AC37" s="8">
        <f t="shared" si="6"/>
        <v>66.66666667</v>
      </c>
      <c r="AD37" s="8">
        <f t="shared" si="7"/>
        <v>33.33333333</v>
      </c>
      <c r="AE37" s="8">
        <f t="shared" si="8"/>
        <v>0.3333333333</v>
      </c>
      <c r="AF37" s="8">
        <f t="shared" si="9"/>
        <v>100</v>
      </c>
      <c r="AG37" s="8">
        <f t="shared" si="10"/>
        <v>50</v>
      </c>
      <c r="AH37" s="8">
        <f t="shared" si="11"/>
        <v>0.5</v>
      </c>
      <c r="AI37" s="10">
        <f t="shared" si="12"/>
        <v>4.761904762</v>
      </c>
      <c r="AJ37" s="11">
        <f t="shared" si="13"/>
        <v>2.380952381</v>
      </c>
      <c r="AK37" s="12">
        <f t="shared" si="14"/>
        <v>0.02380952381</v>
      </c>
    </row>
    <row r="38">
      <c r="A38" s="4" t="s">
        <v>93</v>
      </c>
      <c r="B38" s="4" t="s">
        <v>48</v>
      </c>
      <c r="C38" s="4" t="s">
        <v>91</v>
      </c>
      <c r="D38" s="6">
        <v>87.0</v>
      </c>
      <c r="E38" s="6">
        <v>20.0</v>
      </c>
      <c r="F38" s="6">
        <v>20.0</v>
      </c>
      <c r="G38" s="6">
        <v>87.0</v>
      </c>
      <c r="H38" s="6">
        <v>1.0</v>
      </c>
      <c r="I38" s="6">
        <v>3.0</v>
      </c>
      <c r="J38" s="6">
        <v>54.0</v>
      </c>
      <c r="K38" s="6">
        <v>135.0</v>
      </c>
      <c r="L38" s="4" t="s">
        <v>50</v>
      </c>
      <c r="M38" s="6">
        <v>31000.0</v>
      </c>
      <c r="N38" s="6">
        <v>125.0</v>
      </c>
      <c r="O38" s="6">
        <v>150.0</v>
      </c>
      <c r="P38" s="6">
        <v>100.0</v>
      </c>
      <c r="Q38" s="6">
        <v>1.0</v>
      </c>
      <c r="R38" s="6">
        <v>4.0</v>
      </c>
      <c r="S38" s="7"/>
      <c r="T38" s="6">
        <v>1.0</v>
      </c>
      <c r="U38" s="6">
        <v>323.0</v>
      </c>
      <c r="V38" s="7"/>
      <c r="W38" s="7"/>
      <c r="X38" s="8">
        <f t="shared" si="1"/>
        <v>1.25</v>
      </c>
      <c r="Y38" s="9">
        <f t="shared" si="2"/>
        <v>225</v>
      </c>
      <c r="Z38" s="8">
        <f t="shared" si="3"/>
        <v>6.25</v>
      </c>
      <c r="AA38" s="8">
        <f t="shared" si="4"/>
        <v>5</v>
      </c>
      <c r="AB38" s="8">
        <f t="shared" si="5"/>
        <v>0.05</v>
      </c>
      <c r="AC38" s="8">
        <f t="shared" si="6"/>
        <v>41.66666667</v>
      </c>
      <c r="AD38" s="8">
        <f t="shared" si="7"/>
        <v>33.33333333</v>
      </c>
      <c r="AE38" s="8">
        <f t="shared" si="8"/>
        <v>0.3333333333</v>
      </c>
      <c r="AF38" s="8">
        <f t="shared" si="9"/>
        <v>125</v>
      </c>
      <c r="AG38" s="8">
        <f t="shared" si="10"/>
        <v>100</v>
      </c>
      <c r="AH38" s="8">
        <f t="shared" si="11"/>
        <v>1</v>
      </c>
      <c r="AI38" s="10">
        <f t="shared" si="12"/>
        <v>2.314814815</v>
      </c>
      <c r="AJ38" s="11">
        <f t="shared" si="13"/>
        <v>1.851851852</v>
      </c>
      <c r="AK38" s="12">
        <f t="shared" si="14"/>
        <v>0.01851851852</v>
      </c>
    </row>
    <row r="39">
      <c r="A39" s="4" t="s">
        <v>94</v>
      </c>
      <c r="B39" s="4" t="s">
        <v>48</v>
      </c>
      <c r="C39" s="4" t="s">
        <v>91</v>
      </c>
      <c r="D39" s="6">
        <v>29.0</v>
      </c>
      <c r="E39" s="6">
        <v>6.0</v>
      </c>
      <c r="F39" s="6">
        <v>6.0</v>
      </c>
      <c r="G39" s="6">
        <v>29.0</v>
      </c>
      <c r="H39" s="6">
        <v>1.0</v>
      </c>
      <c r="I39" s="6">
        <v>1.0</v>
      </c>
      <c r="J39" s="6">
        <v>18.0</v>
      </c>
      <c r="K39" s="6">
        <v>135.0</v>
      </c>
      <c r="L39" s="4" t="s">
        <v>50</v>
      </c>
      <c r="M39" s="6">
        <v>8000.0</v>
      </c>
      <c r="N39" s="6">
        <v>125.0</v>
      </c>
      <c r="O39" s="6">
        <v>150.0</v>
      </c>
      <c r="P39" s="6">
        <v>100.0</v>
      </c>
      <c r="Q39" s="6">
        <v>1.0</v>
      </c>
      <c r="R39" s="6">
        <v>8.0</v>
      </c>
      <c r="S39" s="7"/>
      <c r="T39" s="6">
        <v>1.0</v>
      </c>
      <c r="U39" s="6">
        <v>323.0</v>
      </c>
      <c r="V39" s="7"/>
      <c r="W39" s="7"/>
      <c r="X39" s="8">
        <f t="shared" si="1"/>
        <v>1.25</v>
      </c>
      <c r="Y39" s="9">
        <f t="shared" si="2"/>
        <v>225</v>
      </c>
      <c r="Z39" s="8">
        <f t="shared" si="3"/>
        <v>20.83333333</v>
      </c>
      <c r="AA39" s="8">
        <f t="shared" si="4"/>
        <v>16.66666667</v>
      </c>
      <c r="AB39" s="8">
        <f t="shared" si="5"/>
        <v>0.1666666667</v>
      </c>
      <c r="AC39" s="8">
        <f t="shared" si="6"/>
        <v>125</v>
      </c>
      <c r="AD39" s="8">
        <f t="shared" si="7"/>
        <v>100</v>
      </c>
      <c r="AE39" s="8">
        <f t="shared" si="8"/>
        <v>1</v>
      </c>
      <c r="AF39" s="8">
        <f t="shared" si="9"/>
        <v>125</v>
      </c>
      <c r="AG39" s="8">
        <f t="shared" si="10"/>
        <v>100</v>
      </c>
      <c r="AH39" s="8">
        <f t="shared" si="11"/>
        <v>1</v>
      </c>
      <c r="AI39" s="10">
        <f t="shared" si="12"/>
        <v>6.944444444</v>
      </c>
      <c r="AJ39" s="11">
        <f t="shared" si="13"/>
        <v>5.555555556</v>
      </c>
      <c r="AK39" s="12">
        <f t="shared" si="14"/>
        <v>0.05555555556</v>
      </c>
    </row>
    <row r="40">
      <c r="A40" s="4" t="s">
        <v>94</v>
      </c>
      <c r="B40" s="4" t="s">
        <v>48</v>
      </c>
      <c r="C40" s="4" t="s">
        <v>92</v>
      </c>
      <c r="D40" s="6">
        <v>59.0</v>
      </c>
      <c r="E40" s="6">
        <v>13.0</v>
      </c>
      <c r="F40" s="6">
        <v>13.0</v>
      </c>
      <c r="G40" s="6">
        <v>59.0</v>
      </c>
      <c r="H40" s="6">
        <v>2.0</v>
      </c>
      <c r="I40" s="6">
        <v>2.0</v>
      </c>
      <c r="J40" s="6">
        <v>37.0</v>
      </c>
      <c r="K40" s="6">
        <v>149.0</v>
      </c>
      <c r="L40" s="4" t="s">
        <v>50</v>
      </c>
      <c r="M40" s="6">
        <v>8000.0</v>
      </c>
      <c r="N40" s="6">
        <v>200.0</v>
      </c>
      <c r="O40" s="6">
        <v>820.0</v>
      </c>
      <c r="P40" s="6">
        <v>100.0</v>
      </c>
      <c r="Q40" s="6">
        <v>1.0</v>
      </c>
      <c r="R40" s="6">
        <v>8.0</v>
      </c>
      <c r="S40" s="7"/>
      <c r="T40" s="6">
        <v>1.0</v>
      </c>
      <c r="U40" s="6">
        <v>323.0</v>
      </c>
      <c r="V40" s="7"/>
      <c r="W40" s="7"/>
      <c r="X40" s="8">
        <f t="shared" si="1"/>
        <v>2</v>
      </c>
      <c r="Y40" s="9">
        <f t="shared" si="2"/>
        <v>300</v>
      </c>
      <c r="Z40" s="8">
        <f t="shared" si="3"/>
        <v>15.38461538</v>
      </c>
      <c r="AA40" s="8">
        <f t="shared" si="4"/>
        <v>7.692307692</v>
      </c>
      <c r="AB40" s="8">
        <f t="shared" si="5"/>
        <v>0.07692307692</v>
      </c>
      <c r="AC40" s="8">
        <f t="shared" si="6"/>
        <v>100</v>
      </c>
      <c r="AD40" s="8">
        <f t="shared" si="7"/>
        <v>50</v>
      </c>
      <c r="AE40" s="8">
        <f t="shared" si="8"/>
        <v>0.5</v>
      </c>
      <c r="AF40" s="8">
        <f t="shared" si="9"/>
        <v>100</v>
      </c>
      <c r="AG40" s="8">
        <f t="shared" si="10"/>
        <v>50</v>
      </c>
      <c r="AH40" s="8">
        <f t="shared" si="11"/>
        <v>0.5</v>
      </c>
      <c r="AI40" s="10">
        <f t="shared" si="12"/>
        <v>5.405405405</v>
      </c>
      <c r="AJ40" s="11">
        <f t="shared" si="13"/>
        <v>2.702702703</v>
      </c>
      <c r="AK40" s="12">
        <f t="shared" si="14"/>
        <v>0.02702702703</v>
      </c>
    </row>
    <row r="41">
      <c r="A41" s="4" t="s">
        <v>95</v>
      </c>
      <c r="B41" s="4" t="s">
        <v>96</v>
      </c>
      <c r="C41" s="4" t="s">
        <v>64</v>
      </c>
      <c r="D41" s="6">
        <v>307.0</v>
      </c>
      <c r="E41" s="6">
        <v>72.0</v>
      </c>
      <c r="F41" s="6">
        <v>72.0</v>
      </c>
      <c r="G41" s="6">
        <v>307.0</v>
      </c>
      <c r="H41" s="6">
        <v>3.0</v>
      </c>
      <c r="I41" s="6">
        <v>13.0</v>
      </c>
      <c r="J41" s="6">
        <v>191.0</v>
      </c>
      <c r="K41" s="6">
        <v>180.0</v>
      </c>
      <c r="L41" s="4" t="s">
        <v>97</v>
      </c>
      <c r="M41" s="6">
        <v>21000.0</v>
      </c>
      <c r="N41" s="6">
        <v>600.0</v>
      </c>
      <c r="O41" s="6">
        <v>700.0</v>
      </c>
      <c r="P41" s="6">
        <v>407.0</v>
      </c>
      <c r="Q41" s="6">
        <v>2.0</v>
      </c>
      <c r="R41" s="6">
        <v>4.0</v>
      </c>
      <c r="S41" s="7"/>
      <c r="T41" s="6">
        <v>1.0</v>
      </c>
      <c r="U41" s="6">
        <v>328.0</v>
      </c>
      <c r="V41" s="7"/>
      <c r="W41" s="7"/>
      <c r="X41" s="8">
        <f t="shared" si="1"/>
        <v>1.474201474</v>
      </c>
      <c r="Y41" s="9">
        <f t="shared" si="2"/>
        <v>1007</v>
      </c>
      <c r="Z41" s="8">
        <f t="shared" si="3"/>
        <v>8.333333333</v>
      </c>
      <c r="AA41" s="8">
        <f t="shared" si="4"/>
        <v>5.652777778</v>
      </c>
      <c r="AB41" s="8">
        <f t="shared" si="5"/>
        <v>0.01388888889</v>
      </c>
      <c r="AC41" s="8">
        <f t="shared" si="6"/>
        <v>46.15384615</v>
      </c>
      <c r="AD41" s="8">
        <f t="shared" si="7"/>
        <v>31.30769231</v>
      </c>
      <c r="AE41" s="8">
        <f t="shared" si="8"/>
        <v>0.07692307692</v>
      </c>
      <c r="AF41" s="8">
        <f t="shared" si="9"/>
        <v>200</v>
      </c>
      <c r="AG41" s="8">
        <f t="shared" si="10"/>
        <v>135.6666667</v>
      </c>
      <c r="AH41" s="8">
        <f t="shared" si="11"/>
        <v>0.3333333333</v>
      </c>
      <c r="AI41" s="10">
        <f t="shared" si="12"/>
        <v>3.141361257</v>
      </c>
      <c r="AJ41" s="11">
        <f t="shared" si="13"/>
        <v>2.130890052</v>
      </c>
      <c r="AK41" s="12">
        <f t="shared" si="14"/>
        <v>0.005235602094</v>
      </c>
    </row>
    <row r="42">
      <c r="A42" s="4" t="s">
        <v>98</v>
      </c>
      <c r="B42" s="4" t="s">
        <v>96</v>
      </c>
      <c r="C42" s="4" t="s">
        <v>64</v>
      </c>
      <c r="D42" s="6">
        <v>457.0</v>
      </c>
      <c r="E42" s="6">
        <v>104.0</v>
      </c>
      <c r="F42" s="6">
        <v>107.0</v>
      </c>
      <c r="G42" s="6">
        <v>457.0</v>
      </c>
      <c r="H42" s="6">
        <v>2.0</v>
      </c>
      <c r="I42" s="6">
        <v>20.0</v>
      </c>
      <c r="J42" s="6">
        <v>387.0</v>
      </c>
      <c r="K42" s="6">
        <v>195.0</v>
      </c>
      <c r="L42" s="4" t="s">
        <v>97</v>
      </c>
      <c r="M42" s="6">
        <v>21000.0</v>
      </c>
      <c r="N42" s="6">
        <v>800.0</v>
      </c>
      <c r="O42" s="6">
        <v>700.0</v>
      </c>
      <c r="P42" s="6">
        <v>590.0</v>
      </c>
      <c r="Q42" s="6">
        <v>2.0</v>
      </c>
      <c r="R42" s="6">
        <v>4.0</v>
      </c>
      <c r="S42" s="7"/>
      <c r="T42" s="6">
        <v>1.0</v>
      </c>
      <c r="U42" s="6">
        <v>328.0</v>
      </c>
      <c r="V42" s="7"/>
      <c r="W42" s="7"/>
      <c r="X42" s="8">
        <f t="shared" si="1"/>
        <v>1.355932203</v>
      </c>
      <c r="Y42" s="9">
        <f t="shared" si="2"/>
        <v>1390</v>
      </c>
      <c r="Z42" s="8">
        <f t="shared" si="3"/>
        <v>7.692307692</v>
      </c>
      <c r="AA42" s="8">
        <f t="shared" si="4"/>
        <v>5.673076923</v>
      </c>
      <c r="AB42" s="8">
        <f t="shared" si="5"/>
        <v>0.009615384615</v>
      </c>
      <c r="AC42" s="8">
        <f t="shared" si="6"/>
        <v>40</v>
      </c>
      <c r="AD42" s="8">
        <f t="shared" si="7"/>
        <v>29.5</v>
      </c>
      <c r="AE42" s="8">
        <f t="shared" si="8"/>
        <v>0.05</v>
      </c>
      <c r="AF42" s="8">
        <f t="shared" si="9"/>
        <v>400</v>
      </c>
      <c r="AG42" s="8">
        <f t="shared" si="10"/>
        <v>295</v>
      </c>
      <c r="AH42" s="8">
        <f t="shared" si="11"/>
        <v>0.5</v>
      </c>
      <c r="AI42" s="10">
        <f t="shared" si="12"/>
        <v>2.067183463</v>
      </c>
      <c r="AJ42" s="11">
        <f t="shared" si="13"/>
        <v>1.524547804</v>
      </c>
      <c r="AK42" s="12">
        <f t="shared" si="14"/>
        <v>0.002583979328</v>
      </c>
    </row>
    <row r="43">
      <c r="A43" s="4" t="s">
        <v>99</v>
      </c>
      <c r="B43" s="4" t="s">
        <v>96</v>
      </c>
      <c r="C43" s="4" t="s">
        <v>73</v>
      </c>
      <c r="D43" s="6">
        <v>186.0</v>
      </c>
      <c r="E43" s="6">
        <v>44.0</v>
      </c>
      <c r="F43" s="6">
        <v>44.0</v>
      </c>
      <c r="G43" s="6">
        <v>186.0</v>
      </c>
      <c r="H43" s="6">
        <v>2.0</v>
      </c>
      <c r="I43" s="6">
        <v>8.0</v>
      </c>
      <c r="J43" s="6">
        <v>86.0</v>
      </c>
      <c r="K43" s="6">
        <v>143.0</v>
      </c>
      <c r="L43" s="4" t="s">
        <v>97</v>
      </c>
      <c r="M43" s="6">
        <v>12000.0</v>
      </c>
      <c r="N43" s="6">
        <v>400.0</v>
      </c>
      <c r="O43" s="6">
        <v>600.0</v>
      </c>
      <c r="P43" s="6">
        <v>252.0</v>
      </c>
      <c r="Q43" s="6">
        <v>1.0</v>
      </c>
      <c r="R43" s="6">
        <v>1.0</v>
      </c>
      <c r="S43" s="7"/>
      <c r="T43" s="13">
        <v>0.456</v>
      </c>
      <c r="U43" s="6">
        <v>562.0</v>
      </c>
      <c r="V43" s="7"/>
      <c r="W43" s="7"/>
      <c r="X43" s="8">
        <f t="shared" si="1"/>
        <v>1.587301587</v>
      </c>
      <c r="Y43" s="9">
        <f t="shared" si="2"/>
        <v>652</v>
      </c>
      <c r="Z43" s="8">
        <f t="shared" si="3"/>
        <v>9.090909091</v>
      </c>
      <c r="AA43" s="8">
        <f t="shared" si="4"/>
        <v>5.727272727</v>
      </c>
      <c r="AB43" s="8">
        <f t="shared" si="5"/>
        <v>0.01036363636</v>
      </c>
      <c r="AC43" s="8">
        <f t="shared" si="6"/>
        <v>50</v>
      </c>
      <c r="AD43" s="8">
        <f t="shared" si="7"/>
        <v>31.5</v>
      </c>
      <c r="AE43" s="8">
        <f t="shared" si="8"/>
        <v>0.057</v>
      </c>
      <c r="AF43" s="8">
        <f t="shared" si="9"/>
        <v>200</v>
      </c>
      <c r="AG43" s="8">
        <f t="shared" si="10"/>
        <v>126</v>
      </c>
      <c r="AH43" s="8">
        <f t="shared" si="11"/>
        <v>0.228</v>
      </c>
      <c r="AI43" s="10">
        <f t="shared" si="12"/>
        <v>4.651162791</v>
      </c>
      <c r="AJ43" s="11">
        <f t="shared" si="13"/>
        <v>2.930232558</v>
      </c>
      <c r="AK43" s="12">
        <f t="shared" si="14"/>
        <v>0.005302325581</v>
      </c>
    </row>
    <row r="44">
      <c r="A44" s="4" t="s">
        <v>100</v>
      </c>
      <c r="B44" s="4" t="s">
        <v>96</v>
      </c>
      <c r="C44" s="4" t="s">
        <v>60</v>
      </c>
      <c r="D44" s="6">
        <v>214.0</v>
      </c>
      <c r="E44" s="6">
        <v>50.0</v>
      </c>
      <c r="F44" s="6">
        <v>50.0</v>
      </c>
      <c r="G44" s="6">
        <v>214.0</v>
      </c>
      <c r="H44" s="6">
        <v>1.0</v>
      </c>
      <c r="I44" s="6">
        <v>9.0</v>
      </c>
      <c r="J44" s="6">
        <v>129.0</v>
      </c>
      <c r="K44" s="6">
        <v>149.0</v>
      </c>
      <c r="L44" s="4" t="s">
        <v>97</v>
      </c>
      <c r="M44" s="6">
        <v>14000.0</v>
      </c>
      <c r="N44" s="6">
        <v>400.0</v>
      </c>
      <c r="O44" s="6">
        <v>600.0</v>
      </c>
      <c r="P44" s="6">
        <v>253.0</v>
      </c>
      <c r="Q44" s="6">
        <v>1.0</v>
      </c>
      <c r="R44" s="6">
        <v>1.0</v>
      </c>
      <c r="S44" s="7"/>
      <c r="T44" s="13">
        <v>0.493</v>
      </c>
      <c r="U44" s="6">
        <v>539.0</v>
      </c>
      <c r="V44" s="7"/>
      <c r="W44" s="7"/>
      <c r="X44" s="8">
        <f t="shared" si="1"/>
        <v>1.581027668</v>
      </c>
      <c r="Y44" s="9">
        <f t="shared" si="2"/>
        <v>653</v>
      </c>
      <c r="Z44" s="8">
        <f t="shared" si="3"/>
        <v>8</v>
      </c>
      <c r="AA44" s="8">
        <f t="shared" si="4"/>
        <v>5.06</v>
      </c>
      <c r="AB44" s="8">
        <f t="shared" si="5"/>
        <v>0.00986</v>
      </c>
      <c r="AC44" s="8">
        <f t="shared" si="6"/>
        <v>44.44444444</v>
      </c>
      <c r="AD44" s="8">
        <f t="shared" si="7"/>
        <v>28.11111111</v>
      </c>
      <c r="AE44" s="8">
        <f t="shared" si="8"/>
        <v>0.05477777778</v>
      </c>
      <c r="AF44" s="8">
        <f t="shared" si="9"/>
        <v>400</v>
      </c>
      <c r="AG44" s="8">
        <f t="shared" si="10"/>
        <v>253</v>
      </c>
      <c r="AH44" s="8">
        <f t="shared" si="11"/>
        <v>0.493</v>
      </c>
      <c r="AI44" s="10">
        <f t="shared" si="12"/>
        <v>3.100775194</v>
      </c>
      <c r="AJ44" s="11">
        <f t="shared" si="13"/>
        <v>1.96124031</v>
      </c>
      <c r="AK44" s="12">
        <f t="shared" si="14"/>
        <v>0.003821705426</v>
      </c>
    </row>
    <row r="45">
      <c r="A45" s="4" t="s">
        <v>101</v>
      </c>
      <c r="B45" s="4" t="s">
        <v>96</v>
      </c>
      <c r="C45" s="4" t="s">
        <v>56</v>
      </c>
      <c r="D45" s="6">
        <v>161.0</v>
      </c>
      <c r="E45" s="6">
        <v>37.0</v>
      </c>
      <c r="F45" s="6">
        <v>37.0</v>
      </c>
      <c r="G45" s="6">
        <v>161.0</v>
      </c>
      <c r="H45" s="6">
        <v>2.0</v>
      </c>
      <c r="I45" s="6">
        <v>7.0</v>
      </c>
      <c r="J45" s="6">
        <v>104.0</v>
      </c>
      <c r="K45" s="6">
        <v>140.0</v>
      </c>
      <c r="L45" s="4" t="s">
        <v>97</v>
      </c>
      <c r="M45" s="6">
        <v>11000.0</v>
      </c>
      <c r="N45" s="6">
        <v>250.0</v>
      </c>
      <c r="O45" s="6">
        <v>300.0</v>
      </c>
      <c r="P45" s="6">
        <v>202.0</v>
      </c>
      <c r="Q45" s="6">
        <v>1.0</v>
      </c>
      <c r="R45" s="6">
        <v>5.0</v>
      </c>
      <c r="S45" s="7"/>
      <c r="T45" s="6">
        <v>2.0</v>
      </c>
      <c r="U45" s="6">
        <v>609.0</v>
      </c>
      <c r="V45" s="7"/>
      <c r="W45" s="7"/>
      <c r="X45" s="8">
        <f t="shared" si="1"/>
        <v>1.237623762</v>
      </c>
      <c r="Y45" s="9">
        <f t="shared" si="2"/>
        <v>452</v>
      </c>
      <c r="Z45" s="8">
        <f t="shared" si="3"/>
        <v>6.756756757</v>
      </c>
      <c r="AA45" s="8">
        <f t="shared" si="4"/>
        <v>5.459459459</v>
      </c>
      <c r="AB45" s="8">
        <f t="shared" si="5"/>
        <v>0.05405405405</v>
      </c>
      <c r="AC45" s="8">
        <f t="shared" si="6"/>
        <v>35.71428571</v>
      </c>
      <c r="AD45" s="8">
        <f t="shared" si="7"/>
        <v>28.85714286</v>
      </c>
      <c r="AE45" s="8">
        <f t="shared" si="8"/>
        <v>0.2857142857</v>
      </c>
      <c r="AF45" s="8">
        <f t="shared" si="9"/>
        <v>125</v>
      </c>
      <c r="AG45" s="8">
        <f t="shared" si="10"/>
        <v>101</v>
      </c>
      <c r="AH45" s="8">
        <f t="shared" si="11"/>
        <v>1</v>
      </c>
      <c r="AI45" s="10">
        <f t="shared" si="12"/>
        <v>2.403846154</v>
      </c>
      <c r="AJ45" s="11">
        <f t="shared" si="13"/>
        <v>1.942307692</v>
      </c>
      <c r="AK45" s="12">
        <f t="shared" si="14"/>
        <v>0.01923076923</v>
      </c>
    </row>
    <row r="46">
      <c r="A46" s="4" t="s">
        <v>102</v>
      </c>
      <c r="B46" s="4" t="s">
        <v>96</v>
      </c>
      <c r="C46" s="4" t="s">
        <v>49</v>
      </c>
      <c r="D46" s="6">
        <v>351.0</v>
      </c>
      <c r="E46" s="6">
        <v>82.0</v>
      </c>
      <c r="F46" s="6">
        <v>82.0</v>
      </c>
      <c r="G46" s="6">
        <v>351.0</v>
      </c>
      <c r="H46" s="6">
        <v>3.0</v>
      </c>
      <c r="I46" s="6">
        <v>15.0</v>
      </c>
      <c r="J46" s="6">
        <v>219.0</v>
      </c>
      <c r="K46" s="6">
        <v>226.0</v>
      </c>
      <c r="L46" s="4" t="s">
        <v>97</v>
      </c>
      <c r="M46" s="6">
        <v>16000.0</v>
      </c>
      <c r="N46" s="6">
        <v>800.0</v>
      </c>
      <c r="O46" s="6">
        <v>750.0</v>
      </c>
      <c r="P46" s="6">
        <v>304.0</v>
      </c>
      <c r="Q46" s="6">
        <v>3.0</v>
      </c>
      <c r="R46" s="6">
        <v>12.0</v>
      </c>
      <c r="S46" s="7"/>
      <c r="T46" s="6">
        <v>14.0</v>
      </c>
      <c r="U46" s="6">
        <v>375.0</v>
      </c>
      <c r="V46" s="7"/>
      <c r="W46" s="7"/>
      <c r="X46" s="8">
        <f t="shared" si="1"/>
        <v>2.631578947</v>
      </c>
      <c r="Y46" s="9">
        <f t="shared" si="2"/>
        <v>1104</v>
      </c>
      <c r="Z46" s="8">
        <f t="shared" si="3"/>
        <v>9.756097561</v>
      </c>
      <c r="AA46" s="8">
        <f t="shared" si="4"/>
        <v>3.707317073</v>
      </c>
      <c r="AB46" s="8">
        <f t="shared" si="5"/>
        <v>0.1707317073</v>
      </c>
      <c r="AC46" s="8">
        <f t="shared" si="6"/>
        <v>53.33333333</v>
      </c>
      <c r="AD46" s="8">
        <f t="shared" si="7"/>
        <v>20.26666667</v>
      </c>
      <c r="AE46" s="8">
        <f t="shared" si="8"/>
        <v>0.9333333333</v>
      </c>
      <c r="AF46" s="8">
        <f t="shared" si="9"/>
        <v>266.6666667</v>
      </c>
      <c r="AG46" s="8">
        <f t="shared" si="10"/>
        <v>101.3333333</v>
      </c>
      <c r="AH46" s="8">
        <f t="shared" si="11"/>
        <v>4.666666667</v>
      </c>
      <c r="AI46" s="10">
        <f t="shared" si="12"/>
        <v>3.652968037</v>
      </c>
      <c r="AJ46" s="11">
        <f t="shared" si="13"/>
        <v>1.388127854</v>
      </c>
      <c r="AK46" s="12">
        <f t="shared" si="14"/>
        <v>0.06392694064</v>
      </c>
    </row>
    <row r="47">
      <c r="A47" s="4" t="s">
        <v>103</v>
      </c>
      <c r="B47" s="4" t="s">
        <v>96</v>
      </c>
      <c r="C47" s="4" t="s">
        <v>49</v>
      </c>
      <c r="D47" s="6">
        <v>280.0</v>
      </c>
      <c r="E47" s="6">
        <v>66.0</v>
      </c>
      <c r="F47" s="6">
        <v>66.0</v>
      </c>
      <c r="G47" s="6">
        <v>280.0</v>
      </c>
      <c r="H47" s="6">
        <v>2.0</v>
      </c>
      <c r="I47" s="6">
        <v>12.0</v>
      </c>
      <c r="J47" s="6">
        <v>234.0</v>
      </c>
      <c r="K47" s="6">
        <v>226.0</v>
      </c>
      <c r="L47" s="4" t="s">
        <v>97</v>
      </c>
      <c r="M47" s="6">
        <v>16000.0</v>
      </c>
      <c r="N47" s="6">
        <v>800.0</v>
      </c>
      <c r="O47" s="6">
        <v>750.0</v>
      </c>
      <c r="P47" s="6">
        <v>304.0</v>
      </c>
      <c r="Q47" s="6">
        <v>3.0</v>
      </c>
      <c r="R47" s="6">
        <v>12.0</v>
      </c>
      <c r="S47" s="7"/>
      <c r="T47" s="6">
        <v>14.0</v>
      </c>
      <c r="U47" s="6">
        <v>375.0</v>
      </c>
      <c r="V47" s="7"/>
      <c r="W47" s="7"/>
      <c r="X47" s="8">
        <f t="shared" si="1"/>
        <v>2.631578947</v>
      </c>
      <c r="Y47" s="9">
        <f t="shared" si="2"/>
        <v>1104</v>
      </c>
      <c r="Z47" s="8">
        <f t="shared" si="3"/>
        <v>12.12121212</v>
      </c>
      <c r="AA47" s="8">
        <f t="shared" si="4"/>
        <v>4.606060606</v>
      </c>
      <c r="AB47" s="8">
        <f t="shared" si="5"/>
        <v>0.2121212121</v>
      </c>
      <c r="AC47" s="8">
        <f t="shared" si="6"/>
        <v>66.66666667</v>
      </c>
      <c r="AD47" s="8">
        <f t="shared" si="7"/>
        <v>25.33333333</v>
      </c>
      <c r="AE47" s="8">
        <f t="shared" si="8"/>
        <v>1.166666667</v>
      </c>
      <c r="AF47" s="8">
        <f t="shared" si="9"/>
        <v>400</v>
      </c>
      <c r="AG47" s="8">
        <f t="shared" si="10"/>
        <v>152</v>
      </c>
      <c r="AH47" s="8">
        <f t="shared" si="11"/>
        <v>7</v>
      </c>
      <c r="AI47" s="10">
        <f t="shared" si="12"/>
        <v>3.418803419</v>
      </c>
      <c r="AJ47" s="11">
        <f t="shared" si="13"/>
        <v>1.299145299</v>
      </c>
      <c r="AK47" s="12">
        <f t="shared" si="14"/>
        <v>0.05982905983</v>
      </c>
    </row>
    <row r="48">
      <c r="A48" s="4" t="s">
        <v>104</v>
      </c>
      <c r="B48" s="4" t="s">
        <v>96</v>
      </c>
      <c r="C48" s="4" t="s">
        <v>64</v>
      </c>
      <c r="D48" s="6">
        <v>200.0</v>
      </c>
      <c r="E48" s="6">
        <v>46.0</v>
      </c>
      <c r="F48" s="6">
        <v>46.0</v>
      </c>
      <c r="G48" s="6">
        <v>200.0</v>
      </c>
      <c r="H48" s="6">
        <v>2.0</v>
      </c>
      <c r="I48" s="6">
        <v>8.0</v>
      </c>
      <c r="J48" s="6">
        <v>125.0</v>
      </c>
      <c r="K48" s="6">
        <v>115.0</v>
      </c>
      <c r="L48" s="4" t="s">
        <v>97</v>
      </c>
      <c r="M48" s="6">
        <v>13000.0</v>
      </c>
      <c r="N48" s="6">
        <v>600.0</v>
      </c>
      <c r="O48" s="6">
        <v>770.0</v>
      </c>
      <c r="P48" s="6">
        <v>253.0</v>
      </c>
      <c r="Q48" s="6">
        <v>0.0</v>
      </c>
      <c r="R48" s="6">
        <v>0.0</v>
      </c>
      <c r="S48" s="7"/>
      <c r="T48" s="6">
        <v>0.0</v>
      </c>
      <c r="U48" s="6">
        <v>539.0</v>
      </c>
      <c r="V48" s="7"/>
      <c r="W48" s="7"/>
      <c r="X48" s="8">
        <f t="shared" si="1"/>
        <v>2.371541502</v>
      </c>
      <c r="Y48" s="9">
        <f t="shared" si="2"/>
        <v>853</v>
      </c>
      <c r="Z48" s="8">
        <f t="shared" si="3"/>
        <v>13.04347826</v>
      </c>
      <c r="AA48" s="8">
        <f t="shared" si="4"/>
        <v>5.5</v>
      </c>
      <c r="AB48" s="8">
        <f t="shared" si="5"/>
        <v>0</v>
      </c>
      <c r="AC48" s="8">
        <f t="shared" si="6"/>
        <v>75</v>
      </c>
      <c r="AD48" s="8">
        <f t="shared" si="7"/>
        <v>31.625</v>
      </c>
      <c r="AE48" s="8">
        <f t="shared" si="8"/>
        <v>0</v>
      </c>
      <c r="AF48" s="8">
        <f t="shared" si="9"/>
        <v>300</v>
      </c>
      <c r="AG48" s="8">
        <f t="shared" si="10"/>
        <v>126.5</v>
      </c>
      <c r="AH48" s="8">
        <f t="shared" si="11"/>
        <v>0</v>
      </c>
      <c r="AI48" s="10">
        <f t="shared" si="12"/>
        <v>4.8</v>
      </c>
      <c r="AJ48" s="11">
        <f t="shared" si="13"/>
        <v>2.024</v>
      </c>
      <c r="AK48" s="12">
        <f t="shared" si="14"/>
        <v>0</v>
      </c>
    </row>
    <row r="49">
      <c r="A49" s="4" t="s">
        <v>105</v>
      </c>
      <c r="B49" s="4" t="s">
        <v>96</v>
      </c>
      <c r="C49" s="4" t="s">
        <v>91</v>
      </c>
      <c r="D49" s="6">
        <v>163.0</v>
      </c>
      <c r="E49" s="6">
        <v>38.0</v>
      </c>
      <c r="F49" s="6">
        <v>38.0</v>
      </c>
      <c r="G49" s="6">
        <v>163.0</v>
      </c>
      <c r="H49" s="6">
        <v>3.0</v>
      </c>
      <c r="I49" s="6">
        <v>7.0</v>
      </c>
      <c r="J49" s="6">
        <v>103.0</v>
      </c>
      <c r="K49" s="6">
        <v>139.0</v>
      </c>
      <c r="L49" s="4" t="s">
        <v>97</v>
      </c>
      <c r="M49" s="6">
        <v>22000.0</v>
      </c>
      <c r="N49" s="6">
        <v>300.0</v>
      </c>
      <c r="O49" s="6">
        <v>350.0</v>
      </c>
      <c r="P49" s="6">
        <v>508.0</v>
      </c>
      <c r="Q49" s="6">
        <v>3.0</v>
      </c>
      <c r="R49" s="6">
        <v>10.0</v>
      </c>
      <c r="S49" s="7"/>
      <c r="T49" s="6">
        <v>4.0</v>
      </c>
      <c r="U49" s="6">
        <v>492.0</v>
      </c>
      <c r="V49" s="7"/>
      <c r="W49" s="7"/>
      <c r="X49" s="8">
        <f t="shared" si="1"/>
        <v>0.5905511811</v>
      </c>
      <c r="Y49" s="9">
        <f t="shared" si="2"/>
        <v>808</v>
      </c>
      <c r="Z49" s="8">
        <f t="shared" si="3"/>
        <v>7.894736842</v>
      </c>
      <c r="AA49" s="8">
        <f t="shared" si="4"/>
        <v>13.36842105</v>
      </c>
      <c r="AB49" s="8">
        <f t="shared" si="5"/>
        <v>0.1052631579</v>
      </c>
      <c r="AC49" s="8">
        <f t="shared" si="6"/>
        <v>42.85714286</v>
      </c>
      <c r="AD49" s="8">
        <f t="shared" si="7"/>
        <v>72.57142857</v>
      </c>
      <c r="AE49" s="8">
        <f t="shared" si="8"/>
        <v>0.5714285714</v>
      </c>
      <c r="AF49" s="8">
        <f t="shared" si="9"/>
        <v>100</v>
      </c>
      <c r="AG49" s="8">
        <f t="shared" si="10"/>
        <v>169.3333333</v>
      </c>
      <c r="AH49" s="8">
        <f t="shared" si="11"/>
        <v>1.333333333</v>
      </c>
      <c r="AI49" s="10">
        <f t="shared" si="12"/>
        <v>2.912621359</v>
      </c>
      <c r="AJ49" s="11">
        <f t="shared" si="13"/>
        <v>4.932038835</v>
      </c>
      <c r="AK49" s="12">
        <f t="shared" si="14"/>
        <v>0.03883495146</v>
      </c>
    </row>
    <row r="50">
      <c r="A50" s="4" t="s">
        <v>106</v>
      </c>
      <c r="B50" s="4" t="s">
        <v>96</v>
      </c>
      <c r="C50" s="4" t="s">
        <v>91</v>
      </c>
      <c r="D50" s="6">
        <v>251.0</v>
      </c>
      <c r="E50" s="6">
        <v>59.0</v>
      </c>
      <c r="F50" s="6">
        <v>59.0</v>
      </c>
      <c r="G50" s="6">
        <v>251.0</v>
      </c>
      <c r="H50" s="6">
        <v>2.0</v>
      </c>
      <c r="I50" s="6">
        <v>11.0</v>
      </c>
      <c r="J50" s="6">
        <v>211.0</v>
      </c>
      <c r="K50" s="6">
        <v>159.0</v>
      </c>
      <c r="L50" s="4" t="s">
        <v>97</v>
      </c>
      <c r="M50" s="6">
        <v>22000.0</v>
      </c>
      <c r="N50" s="6">
        <v>375.0</v>
      </c>
      <c r="O50" s="6">
        <v>350.0</v>
      </c>
      <c r="P50" s="6">
        <v>70.0</v>
      </c>
      <c r="Q50" s="6">
        <v>3.0</v>
      </c>
      <c r="R50" s="6">
        <v>10.0</v>
      </c>
      <c r="S50" s="7"/>
      <c r="T50" s="6">
        <v>4.0</v>
      </c>
      <c r="U50" s="6">
        <v>492.0</v>
      </c>
      <c r="V50" s="7"/>
      <c r="W50" s="7"/>
      <c r="X50" s="8">
        <f t="shared" si="1"/>
        <v>5.357142857</v>
      </c>
      <c r="Y50" s="9">
        <f t="shared" si="2"/>
        <v>445</v>
      </c>
      <c r="Z50" s="8">
        <f t="shared" si="3"/>
        <v>6.355932203</v>
      </c>
      <c r="AA50" s="8">
        <f t="shared" si="4"/>
        <v>1.186440678</v>
      </c>
      <c r="AB50" s="8">
        <f t="shared" si="5"/>
        <v>0.06779661017</v>
      </c>
      <c r="AC50" s="8">
        <f t="shared" si="6"/>
        <v>34.09090909</v>
      </c>
      <c r="AD50" s="8">
        <f t="shared" si="7"/>
        <v>6.363636364</v>
      </c>
      <c r="AE50" s="8">
        <f t="shared" si="8"/>
        <v>0.3636363636</v>
      </c>
      <c r="AF50" s="8">
        <f t="shared" si="9"/>
        <v>187.5</v>
      </c>
      <c r="AG50" s="8">
        <f t="shared" si="10"/>
        <v>35</v>
      </c>
      <c r="AH50" s="8">
        <f t="shared" si="11"/>
        <v>2</v>
      </c>
      <c r="AI50" s="10">
        <f t="shared" si="12"/>
        <v>1.777251185</v>
      </c>
      <c r="AJ50" s="11">
        <f t="shared" si="13"/>
        <v>0.3317535545</v>
      </c>
      <c r="AK50" s="12">
        <f t="shared" si="14"/>
        <v>0.01895734597</v>
      </c>
    </row>
    <row r="51">
      <c r="A51" s="4" t="s">
        <v>107</v>
      </c>
      <c r="B51" s="4" t="s">
        <v>96</v>
      </c>
      <c r="C51" s="4" t="s">
        <v>56</v>
      </c>
      <c r="D51" s="6">
        <v>293.0</v>
      </c>
      <c r="E51" s="6">
        <v>69.0</v>
      </c>
      <c r="F51" s="6">
        <v>69.0</v>
      </c>
      <c r="G51" s="6">
        <v>293.0</v>
      </c>
      <c r="H51" s="6">
        <v>3.0</v>
      </c>
      <c r="I51" s="6">
        <v>13.0</v>
      </c>
      <c r="J51" s="6">
        <v>189.0</v>
      </c>
      <c r="K51" s="6">
        <v>241.0</v>
      </c>
      <c r="L51" s="4" t="s">
        <v>97</v>
      </c>
      <c r="M51" s="6">
        <v>20000.0</v>
      </c>
      <c r="N51" s="6">
        <v>600.0</v>
      </c>
      <c r="O51" s="6">
        <v>500.0</v>
      </c>
      <c r="P51" s="6">
        <v>306.0</v>
      </c>
      <c r="Q51" s="6">
        <v>2.0</v>
      </c>
      <c r="R51" s="6">
        <v>12.0</v>
      </c>
      <c r="S51" s="7"/>
      <c r="T51" s="6">
        <v>5.0</v>
      </c>
      <c r="U51" s="6">
        <v>398.0</v>
      </c>
      <c r="V51" s="7"/>
      <c r="W51" s="7"/>
      <c r="X51" s="8">
        <f t="shared" si="1"/>
        <v>1.960784314</v>
      </c>
      <c r="Y51" s="9">
        <f t="shared" si="2"/>
        <v>906</v>
      </c>
      <c r="Z51" s="8">
        <f t="shared" si="3"/>
        <v>8.695652174</v>
      </c>
      <c r="AA51" s="8">
        <f t="shared" si="4"/>
        <v>4.434782609</v>
      </c>
      <c r="AB51" s="8">
        <f t="shared" si="5"/>
        <v>0.07246376812</v>
      </c>
      <c r="AC51" s="8">
        <f t="shared" si="6"/>
        <v>46.15384615</v>
      </c>
      <c r="AD51" s="8">
        <f t="shared" si="7"/>
        <v>23.53846154</v>
      </c>
      <c r="AE51" s="8">
        <f t="shared" si="8"/>
        <v>0.3846153846</v>
      </c>
      <c r="AF51" s="8">
        <f t="shared" si="9"/>
        <v>200</v>
      </c>
      <c r="AG51" s="8">
        <f t="shared" si="10"/>
        <v>102</v>
      </c>
      <c r="AH51" s="8">
        <f t="shared" si="11"/>
        <v>1.666666667</v>
      </c>
      <c r="AI51" s="10">
        <f t="shared" si="12"/>
        <v>3.174603175</v>
      </c>
      <c r="AJ51" s="11">
        <f t="shared" si="13"/>
        <v>1.619047619</v>
      </c>
      <c r="AK51" s="12">
        <f t="shared" si="14"/>
        <v>0.02645502646</v>
      </c>
    </row>
    <row r="52">
      <c r="A52" s="4" t="s">
        <v>108</v>
      </c>
      <c r="B52" s="4" t="s">
        <v>96</v>
      </c>
      <c r="C52" s="4" t="s">
        <v>56</v>
      </c>
      <c r="D52" s="6">
        <v>443.0</v>
      </c>
      <c r="E52" s="6">
        <v>103.0</v>
      </c>
      <c r="F52" s="6">
        <v>103.0</v>
      </c>
      <c r="G52" s="6">
        <v>443.0</v>
      </c>
      <c r="H52" s="6">
        <v>2.0</v>
      </c>
      <c r="I52" s="6">
        <v>20.0</v>
      </c>
      <c r="J52" s="6">
        <v>387.0</v>
      </c>
      <c r="K52" s="6">
        <v>265.0</v>
      </c>
      <c r="L52" s="4" t="s">
        <v>97</v>
      </c>
      <c r="M52" s="6">
        <v>20000.0</v>
      </c>
      <c r="N52" s="6">
        <v>800.0</v>
      </c>
      <c r="O52" s="6">
        <v>500.0</v>
      </c>
      <c r="P52" s="6">
        <v>450.0</v>
      </c>
      <c r="Q52" s="6">
        <v>2.0</v>
      </c>
      <c r="R52" s="6">
        <v>12.0</v>
      </c>
      <c r="S52" s="7"/>
      <c r="T52" s="6">
        <v>5.0</v>
      </c>
      <c r="U52" s="6">
        <v>398.0</v>
      </c>
      <c r="V52" s="7"/>
      <c r="W52" s="7"/>
      <c r="X52" s="8">
        <f t="shared" si="1"/>
        <v>1.777777778</v>
      </c>
      <c r="Y52" s="9">
        <f t="shared" si="2"/>
        <v>1250</v>
      </c>
      <c r="Z52" s="8">
        <f t="shared" si="3"/>
        <v>7.766990291</v>
      </c>
      <c r="AA52" s="8">
        <f t="shared" si="4"/>
        <v>4.368932039</v>
      </c>
      <c r="AB52" s="8">
        <f t="shared" si="5"/>
        <v>0.04854368932</v>
      </c>
      <c r="AC52" s="8">
        <f t="shared" si="6"/>
        <v>40</v>
      </c>
      <c r="AD52" s="8">
        <f t="shared" si="7"/>
        <v>22.5</v>
      </c>
      <c r="AE52" s="8">
        <f t="shared" si="8"/>
        <v>0.25</v>
      </c>
      <c r="AF52" s="8">
        <f t="shared" si="9"/>
        <v>400</v>
      </c>
      <c r="AG52" s="8">
        <f t="shared" si="10"/>
        <v>225</v>
      </c>
      <c r="AH52" s="8">
        <f t="shared" si="11"/>
        <v>2.5</v>
      </c>
      <c r="AI52" s="10">
        <f t="shared" si="12"/>
        <v>2.067183463</v>
      </c>
      <c r="AJ52" s="11">
        <f t="shared" si="13"/>
        <v>1.162790698</v>
      </c>
      <c r="AK52" s="12">
        <f t="shared" si="14"/>
        <v>0.01291989664</v>
      </c>
    </row>
    <row r="53">
      <c r="A53" s="4" t="s">
        <v>109</v>
      </c>
      <c r="B53" s="4" t="s">
        <v>96</v>
      </c>
      <c r="C53" s="4" t="s">
        <v>82</v>
      </c>
      <c r="D53" s="6">
        <v>87.0</v>
      </c>
      <c r="E53" s="6">
        <v>20.0</v>
      </c>
      <c r="F53" s="6">
        <v>20.0</v>
      </c>
      <c r="G53" s="6">
        <v>87.0</v>
      </c>
      <c r="H53" s="6">
        <v>0.0</v>
      </c>
      <c r="I53" s="6">
        <v>3.0</v>
      </c>
      <c r="J53" s="6">
        <v>54.0</v>
      </c>
      <c r="K53" s="6">
        <v>189.0</v>
      </c>
      <c r="L53" s="4" t="s">
        <v>97</v>
      </c>
      <c r="M53" s="6">
        <v>28000.0</v>
      </c>
      <c r="N53" s="6">
        <v>250.0</v>
      </c>
      <c r="O53" s="6">
        <v>950.0</v>
      </c>
      <c r="P53" s="6">
        <v>380.0</v>
      </c>
      <c r="Q53" s="6">
        <v>1.0</v>
      </c>
      <c r="R53" s="6">
        <v>6.0</v>
      </c>
      <c r="S53" s="7"/>
      <c r="T53" s="6">
        <v>7.0</v>
      </c>
      <c r="U53" s="6">
        <v>379.0</v>
      </c>
      <c r="V53" s="7"/>
      <c r="W53" s="7"/>
      <c r="X53" s="8">
        <f t="shared" si="1"/>
        <v>0.6578947368</v>
      </c>
      <c r="Y53" s="9">
        <f t="shared" si="2"/>
        <v>630</v>
      </c>
      <c r="Z53" s="8">
        <f t="shared" si="3"/>
        <v>12.5</v>
      </c>
      <c r="AA53" s="8">
        <f t="shared" si="4"/>
        <v>19</v>
      </c>
      <c r="AB53" s="8">
        <f t="shared" si="5"/>
        <v>0.35</v>
      </c>
      <c r="AC53" s="8">
        <f t="shared" si="6"/>
        <v>83.33333333</v>
      </c>
      <c r="AD53" s="8">
        <f t="shared" si="7"/>
        <v>126.6666667</v>
      </c>
      <c r="AE53" s="8">
        <f t="shared" si="8"/>
        <v>2.333333333</v>
      </c>
      <c r="AF53" s="8" t="str">
        <f t="shared" si="9"/>
        <v>#DIV/0!</v>
      </c>
      <c r="AG53" s="8" t="str">
        <f t="shared" si="10"/>
        <v>#DIV/0!</v>
      </c>
      <c r="AH53" s="8" t="str">
        <f t="shared" si="11"/>
        <v>#DIV/0!</v>
      </c>
      <c r="AI53" s="10">
        <f t="shared" si="12"/>
        <v>4.62962963</v>
      </c>
      <c r="AJ53" s="11">
        <f t="shared" si="13"/>
        <v>7.037037037</v>
      </c>
      <c r="AK53" s="12">
        <f t="shared" si="14"/>
        <v>0.1296296296</v>
      </c>
    </row>
    <row r="54">
      <c r="A54" s="4" t="s">
        <v>110</v>
      </c>
      <c r="B54" s="4" t="s">
        <v>96</v>
      </c>
      <c r="C54" s="4" t="s">
        <v>49</v>
      </c>
      <c r="D54" s="6">
        <v>241.0</v>
      </c>
      <c r="E54" s="6">
        <v>57.0</v>
      </c>
      <c r="F54" s="6">
        <v>57.0</v>
      </c>
      <c r="G54" s="6">
        <v>241.0</v>
      </c>
      <c r="H54" s="6">
        <v>2.0</v>
      </c>
      <c r="I54" s="6">
        <v>10.0</v>
      </c>
      <c r="J54" s="6">
        <v>150.0</v>
      </c>
      <c r="K54" s="6">
        <v>215.0</v>
      </c>
      <c r="L54" s="4" t="s">
        <v>97</v>
      </c>
      <c r="M54" s="6">
        <v>11000.0</v>
      </c>
      <c r="N54" s="6">
        <v>375.0</v>
      </c>
      <c r="O54" s="6">
        <v>450.0</v>
      </c>
      <c r="P54" s="6">
        <v>201.0</v>
      </c>
      <c r="Q54" s="6">
        <v>1.0</v>
      </c>
      <c r="R54" s="6">
        <v>1.0</v>
      </c>
      <c r="S54" s="7"/>
      <c r="T54" s="6">
        <v>1.0</v>
      </c>
      <c r="U54" s="6">
        <v>375.0</v>
      </c>
      <c r="V54" s="7"/>
      <c r="W54" s="7"/>
      <c r="X54" s="8">
        <f t="shared" si="1"/>
        <v>1.865671642</v>
      </c>
      <c r="Y54" s="9">
        <f t="shared" si="2"/>
        <v>576</v>
      </c>
      <c r="Z54" s="8">
        <f t="shared" si="3"/>
        <v>6.578947368</v>
      </c>
      <c r="AA54" s="8">
        <f t="shared" si="4"/>
        <v>3.526315789</v>
      </c>
      <c r="AB54" s="8">
        <f t="shared" si="5"/>
        <v>0.01754385965</v>
      </c>
      <c r="AC54" s="8">
        <f t="shared" si="6"/>
        <v>37.5</v>
      </c>
      <c r="AD54" s="8">
        <f t="shared" si="7"/>
        <v>20.1</v>
      </c>
      <c r="AE54" s="8">
        <f t="shared" si="8"/>
        <v>0.1</v>
      </c>
      <c r="AF54" s="8">
        <f t="shared" si="9"/>
        <v>187.5</v>
      </c>
      <c r="AG54" s="8">
        <f t="shared" si="10"/>
        <v>100.5</v>
      </c>
      <c r="AH54" s="8">
        <f t="shared" si="11"/>
        <v>0.5</v>
      </c>
      <c r="AI54" s="10">
        <f t="shared" si="12"/>
        <v>2.5</v>
      </c>
      <c r="AJ54" s="11">
        <f t="shared" si="13"/>
        <v>1.34</v>
      </c>
      <c r="AK54" s="12">
        <f t="shared" si="14"/>
        <v>0.006666666667</v>
      </c>
    </row>
    <row r="55">
      <c r="A55" s="4" t="s">
        <v>111</v>
      </c>
      <c r="B55" s="4" t="s">
        <v>96</v>
      </c>
      <c r="C55" s="4" t="s">
        <v>91</v>
      </c>
      <c r="D55" s="6">
        <v>87.0</v>
      </c>
      <c r="E55" s="6">
        <v>20.0</v>
      </c>
      <c r="F55" s="6">
        <v>20.0</v>
      </c>
      <c r="G55" s="6">
        <v>87.0</v>
      </c>
      <c r="H55" s="6">
        <v>2.0</v>
      </c>
      <c r="I55" s="6">
        <v>3.0</v>
      </c>
      <c r="J55" s="6">
        <v>54.0</v>
      </c>
      <c r="K55" s="6">
        <v>111.0</v>
      </c>
      <c r="L55" s="4" t="s">
        <v>97</v>
      </c>
      <c r="M55" s="6">
        <v>12000.0</v>
      </c>
      <c r="N55" s="6">
        <v>200.0</v>
      </c>
      <c r="O55" s="6">
        <v>200.0</v>
      </c>
      <c r="P55" s="6">
        <v>202.0</v>
      </c>
      <c r="Q55" s="6">
        <v>1.0</v>
      </c>
      <c r="R55" s="6">
        <v>1.0</v>
      </c>
      <c r="S55" s="7"/>
      <c r="T55" s="13">
        <v>0.493</v>
      </c>
      <c r="U55" s="6">
        <v>585.0</v>
      </c>
      <c r="V55" s="7"/>
      <c r="W55" s="7"/>
      <c r="X55" s="8">
        <f t="shared" si="1"/>
        <v>0.9900990099</v>
      </c>
      <c r="Y55" s="9">
        <f t="shared" si="2"/>
        <v>402</v>
      </c>
      <c r="Z55" s="8">
        <f t="shared" si="3"/>
        <v>10</v>
      </c>
      <c r="AA55" s="8">
        <f t="shared" si="4"/>
        <v>10.1</v>
      </c>
      <c r="AB55" s="8">
        <f t="shared" si="5"/>
        <v>0.02465</v>
      </c>
      <c r="AC55" s="8">
        <f t="shared" si="6"/>
        <v>66.66666667</v>
      </c>
      <c r="AD55" s="8">
        <f t="shared" si="7"/>
        <v>67.33333333</v>
      </c>
      <c r="AE55" s="8">
        <f t="shared" si="8"/>
        <v>0.1643333333</v>
      </c>
      <c r="AF55" s="8">
        <f t="shared" si="9"/>
        <v>100</v>
      </c>
      <c r="AG55" s="8">
        <f t="shared" si="10"/>
        <v>101</v>
      </c>
      <c r="AH55" s="8">
        <f t="shared" si="11"/>
        <v>0.2465</v>
      </c>
      <c r="AI55" s="10">
        <f t="shared" si="12"/>
        <v>3.703703704</v>
      </c>
      <c r="AJ55" s="11">
        <f t="shared" si="13"/>
        <v>3.740740741</v>
      </c>
      <c r="AK55" s="12">
        <f t="shared" si="14"/>
        <v>0.00912962963</v>
      </c>
    </row>
    <row r="56">
      <c r="A56" s="4" t="s">
        <v>112</v>
      </c>
      <c r="B56" s="4" t="s">
        <v>113</v>
      </c>
      <c r="C56" s="4" t="s">
        <v>49</v>
      </c>
      <c r="D56" s="6">
        <v>1032.0</v>
      </c>
      <c r="E56" s="6">
        <v>245.0</v>
      </c>
      <c r="F56" s="6">
        <v>245.0</v>
      </c>
      <c r="G56" s="6">
        <v>1032.0</v>
      </c>
      <c r="H56" s="6">
        <v>8.0</v>
      </c>
      <c r="I56" s="6">
        <v>45.0</v>
      </c>
      <c r="J56" s="6">
        <v>646.0</v>
      </c>
      <c r="K56" s="6">
        <v>300.0</v>
      </c>
      <c r="L56" s="4" t="s">
        <v>50</v>
      </c>
      <c r="M56" s="6">
        <v>940.0</v>
      </c>
      <c r="N56" s="6">
        <v>1600.0</v>
      </c>
      <c r="O56" s="6">
        <v>1770.0</v>
      </c>
      <c r="P56" s="6">
        <v>468.0</v>
      </c>
      <c r="Q56" s="6">
        <v>2.0</v>
      </c>
      <c r="R56" s="6">
        <v>4.0</v>
      </c>
      <c r="S56" s="7"/>
      <c r="T56" s="6">
        <v>10.0</v>
      </c>
      <c r="U56" s="6">
        <v>375.0</v>
      </c>
      <c r="V56" s="7"/>
      <c r="W56" s="5">
        <v>8.0</v>
      </c>
      <c r="X56" s="8">
        <f t="shared" si="1"/>
        <v>3.418803419</v>
      </c>
      <c r="Y56" s="9">
        <f t="shared" si="2"/>
        <v>2068</v>
      </c>
      <c r="Z56" s="8">
        <f t="shared" si="3"/>
        <v>6.530612245</v>
      </c>
      <c r="AA56" s="8">
        <f t="shared" si="4"/>
        <v>1.910204082</v>
      </c>
      <c r="AB56" s="8">
        <f t="shared" si="5"/>
        <v>0.04081632653</v>
      </c>
      <c r="AC56" s="8">
        <f t="shared" si="6"/>
        <v>35.55555556</v>
      </c>
      <c r="AD56" s="8">
        <f t="shared" si="7"/>
        <v>10.4</v>
      </c>
      <c r="AE56" s="8">
        <f t="shared" si="8"/>
        <v>0.2222222222</v>
      </c>
      <c r="AF56" s="8">
        <f t="shared" si="9"/>
        <v>200</v>
      </c>
      <c r="AG56" s="8">
        <f t="shared" si="10"/>
        <v>58.5</v>
      </c>
      <c r="AH56" s="8">
        <f t="shared" si="11"/>
        <v>1.25</v>
      </c>
      <c r="AI56" s="10">
        <f t="shared" si="12"/>
        <v>2.476780186</v>
      </c>
      <c r="AJ56" s="11">
        <f t="shared" si="13"/>
        <v>0.7244582043</v>
      </c>
      <c r="AK56" s="12">
        <f t="shared" si="14"/>
        <v>0.01547987616</v>
      </c>
    </row>
    <row r="57">
      <c r="A57" s="4" t="s">
        <v>114</v>
      </c>
      <c r="B57" s="4" t="s">
        <v>113</v>
      </c>
      <c r="C57" s="4" t="s">
        <v>56</v>
      </c>
      <c r="D57" s="6">
        <v>659.0</v>
      </c>
      <c r="E57" s="6">
        <v>156.0</v>
      </c>
      <c r="F57" s="6">
        <v>156.0</v>
      </c>
      <c r="G57" s="6">
        <v>659.0</v>
      </c>
      <c r="H57" s="6">
        <v>4.0</v>
      </c>
      <c r="I57" s="6">
        <v>29.0</v>
      </c>
      <c r="J57" s="6">
        <v>425.0</v>
      </c>
      <c r="K57" s="6">
        <v>448.0</v>
      </c>
      <c r="L57" s="4" t="s">
        <v>50</v>
      </c>
      <c r="M57" s="6">
        <v>930.0</v>
      </c>
      <c r="N57" s="6">
        <v>800.0</v>
      </c>
      <c r="O57" s="6">
        <v>990.0</v>
      </c>
      <c r="P57" s="6">
        <v>468.0</v>
      </c>
      <c r="Q57" s="6">
        <v>2.0</v>
      </c>
      <c r="R57" s="6">
        <v>4.0</v>
      </c>
      <c r="S57" s="7"/>
      <c r="T57" s="6">
        <v>10.0</v>
      </c>
      <c r="U57" s="6">
        <v>299.0</v>
      </c>
      <c r="V57" s="7"/>
      <c r="W57" s="5">
        <v>4.0</v>
      </c>
      <c r="X57" s="8">
        <f t="shared" si="1"/>
        <v>1.709401709</v>
      </c>
      <c r="Y57" s="9">
        <f t="shared" si="2"/>
        <v>1268</v>
      </c>
      <c r="Z57" s="8">
        <f t="shared" si="3"/>
        <v>5.128205128</v>
      </c>
      <c r="AA57" s="8">
        <f t="shared" si="4"/>
        <v>3</v>
      </c>
      <c r="AB57" s="8">
        <f t="shared" si="5"/>
        <v>0.0641025641</v>
      </c>
      <c r="AC57" s="8">
        <f t="shared" si="6"/>
        <v>27.5862069</v>
      </c>
      <c r="AD57" s="8">
        <f t="shared" si="7"/>
        <v>16.13793103</v>
      </c>
      <c r="AE57" s="8">
        <f t="shared" si="8"/>
        <v>0.3448275862</v>
      </c>
      <c r="AF57" s="8">
        <f t="shared" si="9"/>
        <v>200</v>
      </c>
      <c r="AG57" s="8">
        <f t="shared" si="10"/>
        <v>117</v>
      </c>
      <c r="AH57" s="8">
        <f t="shared" si="11"/>
        <v>2.5</v>
      </c>
      <c r="AI57" s="10">
        <f t="shared" si="12"/>
        <v>1.882352941</v>
      </c>
      <c r="AJ57" s="11">
        <f t="shared" si="13"/>
        <v>1.101176471</v>
      </c>
      <c r="AK57" s="12">
        <f t="shared" si="14"/>
        <v>0.02352941176</v>
      </c>
    </row>
    <row r="58">
      <c r="A58" s="4" t="s">
        <v>115</v>
      </c>
      <c r="B58" s="4" t="s">
        <v>113</v>
      </c>
      <c r="C58" s="4" t="s">
        <v>56</v>
      </c>
      <c r="D58" s="6">
        <v>824.0</v>
      </c>
      <c r="E58" s="6">
        <v>194.0</v>
      </c>
      <c r="F58" s="6">
        <v>194.0</v>
      </c>
      <c r="G58" s="6">
        <v>824.0</v>
      </c>
      <c r="H58" s="6">
        <v>4.0</v>
      </c>
      <c r="I58" s="6">
        <v>37.0</v>
      </c>
      <c r="J58" s="6">
        <v>534.0</v>
      </c>
      <c r="K58" s="6">
        <v>448.0</v>
      </c>
      <c r="L58" s="4" t="s">
        <v>50</v>
      </c>
      <c r="M58" s="6">
        <v>1237.0</v>
      </c>
      <c r="N58" s="6">
        <v>800.0</v>
      </c>
      <c r="O58" s="6">
        <v>990.0</v>
      </c>
      <c r="P58" s="6">
        <v>468.0</v>
      </c>
      <c r="Q58" s="6">
        <v>2.0</v>
      </c>
      <c r="R58" s="6">
        <v>4.0</v>
      </c>
      <c r="S58" s="7"/>
      <c r="T58" s="6">
        <v>10.0</v>
      </c>
      <c r="U58" s="6">
        <v>299.0</v>
      </c>
      <c r="V58" s="7"/>
      <c r="W58" s="5">
        <v>4.0</v>
      </c>
      <c r="X58" s="8">
        <f t="shared" si="1"/>
        <v>1.709401709</v>
      </c>
      <c r="Y58" s="9">
        <f t="shared" si="2"/>
        <v>1268</v>
      </c>
      <c r="Z58" s="8">
        <f t="shared" si="3"/>
        <v>4.12371134</v>
      </c>
      <c r="AA58" s="8">
        <f t="shared" si="4"/>
        <v>2.412371134</v>
      </c>
      <c r="AB58" s="8">
        <f t="shared" si="5"/>
        <v>0.05154639175</v>
      </c>
      <c r="AC58" s="8">
        <f t="shared" si="6"/>
        <v>21.62162162</v>
      </c>
      <c r="AD58" s="8">
        <f t="shared" si="7"/>
        <v>12.64864865</v>
      </c>
      <c r="AE58" s="8">
        <f t="shared" si="8"/>
        <v>0.2702702703</v>
      </c>
      <c r="AF58" s="8">
        <f t="shared" si="9"/>
        <v>200</v>
      </c>
      <c r="AG58" s="8">
        <f t="shared" si="10"/>
        <v>117</v>
      </c>
      <c r="AH58" s="8">
        <f t="shared" si="11"/>
        <v>2.5</v>
      </c>
      <c r="AI58" s="10">
        <f t="shared" si="12"/>
        <v>1.498127341</v>
      </c>
      <c r="AJ58" s="11">
        <f t="shared" si="13"/>
        <v>0.8764044944</v>
      </c>
      <c r="AK58" s="12">
        <f t="shared" si="14"/>
        <v>0.01872659176</v>
      </c>
    </row>
    <row r="59">
      <c r="A59" s="4" t="s">
        <v>116</v>
      </c>
      <c r="B59" s="4" t="s">
        <v>113</v>
      </c>
      <c r="C59" s="4" t="s">
        <v>92</v>
      </c>
      <c r="D59" s="6">
        <v>614.0</v>
      </c>
      <c r="E59" s="6">
        <v>146.0</v>
      </c>
      <c r="F59" s="6">
        <v>146.0</v>
      </c>
      <c r="G59" s="6">
        <v>614.0</v>
      </c>
      <c r="H59" s="6">
        <v>8.0</v>
      </c>
      <c r="I59" s="6">
        <v>26.0</v>
      </c>
      <c r="J59" s="6">
        <v>384.0</v>
      </c>
      <c r="K59" s="6">
        <v>350.0</v>
      </c>
      <c r="L59" s="4" t="s">
        <v>50</v>
      </c>
      <c r="M59" s="6">
        <v>840.0</v>
      </c>
      <c r="N59" s="6">
        <v>600.0</v>
      </c>
      <c r="O59" s="6">
        <v>770.0</v>
      </c>
      <c r="P59" s="6">
        <v>447.0</v>
      </c>
      <c r="Q59" s="6">
        <v>2.0</v>
      </c>
      <c r="R59" s="6">
        <v>4.0</v>
      </c>
      <c r="S59" s="7"/>
      <c r="T59" s="6">
        <v>10.0</v>
      </c>
      <c r="U59" s="6">
        <v>299.0</v>
      </c>
      <c r="V59" s="7"/>
      <c r="W59" s="5">
        <v>4.0</v>
      </c>
      <c r="X59" s="8">
        <f t="shared" si="1"/>
        <v>1.342281879</v>
      </c>
      <c r="Y59" s="9">
        <f t="shared" si="2"/>
        <v>1047</v>
      </c>
      <c r="Z59" s="8">
        <f t="shared" si="3"/>
        <v>4.109589041</v>
      </c>
      <c r="AA59" s="8">
        <f t="shared" si="4"/>
        <v>3.061643836</v>
      </c>
      <c r="AB59" s="8">
        <f t="shared" si="5"/>
        <v>0.06849315068</v>
      </c>
      <c r="AC59" s="8">
        <f t="shared" si="6"/>
        <v>23.07692308</v>
      </c>
      <c r="AD59" s="8">
        <f t="shared" si="7"/>
        <v>17.19230769</v>
      </c>
      <c r="AE59" s="8">
        <f t="shared" si="8"/>
        <v>0.3846153846</v>
      </c>
      <c r="AF59" s="8">
        <f t="shared" si="9"/>
        <v>75</v>
      </c>
      <c r="AG59" s="8">
        <f t="shared" si="10"/>
        <v>55.875</v>
      </c>
      <c r="AH59" s="8">
        <f t="shared" si="11"/>
        <v>1.25</v>
      </c>
      <c r="AI59" s="10">
        <f t="shared" si="12"/>
        <v>1.5625</v>
      </c>
      <c r="AJ59" s="11">
        <f t="shared" si="13"/>
        <v>1.1640625</v>
      </c>
      <c r="AK59" s="12">
        <f t="shared" si="14"/>
        <v>0.02604166667</v>
      </c>
    </row>
    <row r="60">
      <c r="A60" s="4" t="s">
        <v>117</v>
      </c>
      <c r="B60" s="4" t="s">
        <v>113</v>
      </c>
      <c r="C60" s="4" t="s">
        <v>92</v>
      </c>
      <c r="D60" s="6">
        <v>673.0</v>
      </c>
      <c r="E60" s="6">
        <v>160.0</v>
      </c>
      <c r="F60" s="6">
        <v>160.0</v>
      </c>
      <c r="G60" s="6">
        <v>673.0</v>
      </c>
      <c r="H60" s="6">
        <v>6.0</v>
      </c>
      <c r="I60" s="6">
        <v>29.0</v>
      </c>
      <c r="J60" s="6">
        <v>421.0</v>
      </c>
      <c r="K60" s="6">
        <v>400.0</v>
      </c>
      <c r="L60" s="4" t="s">
        <v>50</v>
      </c>
      <c r="M60" s="6">
        <v>920.0</v>
      </c>
      <c r="N60" s="6">
        <v>250.0</v>
      </c>
      <c r="O60" s="6">
        <v>300.0</v>
      </c>
      <c r="P60" s="6">
        <v>448.0</v>
      </c>
      <c r="Q60" s="6">
        <v>2.0</v>
      </c>
      <c r="R60" s="6">
        <v>4.0</v>
      </c>
      <c r="S60" s="7"/>
      <c r="T60" s="6">
        <v>8.0</v>
      </c>
      <c r="U60" s="6">
        <v>224.0</v>
      </c>
      <c r="V60" s="7"/>
      <c r="W60" s="5">
        <v>3.0</v>
      </c>
      <c r="X60" s="8">
        <f t="shared" si="1"/>
        <v>0.5580357143</v>
      </c>
      <c r="Y60" s="9">
        <f t="shared" si="2"/>
        <v>698</v>
      </c>
      <c r="Z60" s="8">
        <f t="shared" si="3"/>
        <v>1.5625</v>
      </c>
      <c r="AA60" s="8">
        <f t="shared" si="4"/>
        <v>2.8</v>
      </c>
      <c r="AB60" s="8">
        <f t="shared" si="5"/>
        <v>0.05</v>
      </c>
      <c r="AC60" s="8">
        <f t="shared" si="6"/>
        <v>8.620689655</v>
      </c>
      <c r="AD60" s="8">
        <f t="shared" si="7"/>
        <v>15.44827586</v>
      </c>
      <c r="AE60" s="8">
        <f t="shared" si="8"/>
        <v>0.275862069</v>
      </c>
      <c r="AF60" s="8">
        <f t="shared" si="9"/>
        <v>41.66666667</v>
      </c>
      <c r="AG60" s="8">
        <f t="shared" si="10"/>
        <v>74.66666667</v>
      </c>
      <c r="AH60" s="8">
        <f t="shared" si="11"/>
        <v>1.333333333</v>
      </c>
      <c r="AI60" s="10">
        <f t="shared" si="12"/>
        <v>0.593824228</v>
      </c>
      <c r="AJ60" s="11">
        <f t="shared" si="13"/>
        <v>1.064133017</v>
      </c>
      <c r="AK60" s="12">
        <f t="shared" si="14"/>
        <v>0.0190023753</v>
      </c>
    </row>
    <row r="61">
      <c r="A61" s="4" t="s">
        <v>118</v>
      </c>
      <c r="B61" s="4" t="s">
        <v>113</v>
      </c>
      <c r="C61" s="4" t="s">
        <v>92</v>
      </c>
      <c r="D61" s="6">
        <v>801.0</v>
      </c>
      <c r="E61" s="6">
        <v>190.0</v>
      </c>
      <c r="F61" s="6">
        <v>190.0</v>
      </c>
      <c r="G61" s="6">
        <v>801.0</v>
      </c>
      <c r="H61" s="6">
        <v>4.0</v>
      </c>
      <c r="I61" s="6">
        <v>35.0</v>
      </c>
      <c r="J61" s="6">
        <v>677.0</v>
      </c>
      <c r="K61" s="6">
        <v>200.0</v>
      </c>
      <c r="L61" s="4" t="s">
        <v>50</v>
      </c>
      <c r="M61" s="6">
        <v>9000.0</v>
      </c>
      <c r="N61" s="6">
        <v>1200.0</v>
      </c>
      <c r="O61" s="6">
        <v>464.0</v>
      </c>
      <c r="P61" s="6">
        <v>600.0</v>
      </c>
      <c r="Q61" s="6">
        <v>2.0</v>
      </c>
      <c r="R61" s="6">
        <v>4.0</v>
      </c>
      <c r="S61" s="7"/>
      <c r="T61" s="6">
        <v>8.0</v>
      </c>
      <c r="U61" s="6">
        <v>149.0</v>
      </c>
      <c r="V61" s="7"/>
      <c r="W61" s="5">
        <v>6.0</v>
      </c>
      <c r="X61" s="8">
        <f t="shared" si="1"/>
        <v>2</v>
      </c>
      <c r="Y61" s="9">
        <f t="shared" si="2"/>
        <v>1800</v>
      </c>
      <c r="Z61" s="8">
        <f t="shared" si="3"/>
        <v>6.315789474</v>
      </c>
      <c r="AA61" s="8">
        <f t="shared" si="4"/>
        <v>3.157894737</v>
      </c>
      <c r="AB61" s="8">
        <f t="shared" si="5"/>
        <v>0.04210526316</v>
      </c>
      <c r="AC61" s="8">
        <f t="shared" si="6"/>
        <v>34.28571429</v>
      </c>
      <c r="AD61" s="8">
        <f t="shared" si="7"/>
        <v>17.14285714</v>
      </c>
      <c r="AE61" s="8">
        <f t="shared" si="8"/>
        <v>0.2285714286</v>
      </c>
      <c r="AF61" s="8">
        <f t="shared" si="9"/>
        <v>300</v>
      </c>
      <c r="AG61" s="8">
        <f t="shared" si="10"/>
        <v>150</v>
      </c>
      <c r="AH61" s="8">
        <f t="shared" si="11"/>
        <v>2</v>
      </c>
      <c r="AI61" s="10">
        <f t="shared" si="12"/>
        <v>1.772525849</v>
      </c>
      <c r="AJ61" s="11">
        <f t="shared" si="13"/>
        <v>0.8862629247</v>
      </c>
      <c r="AK61" s="12">
        <f t="shared" si="14"/>
        <v>0.011816839</v>
      </c>
    </row>
    <row r="62">
      <c r="A62" s="4" t="s">
        <v>119</v>
      </c>
      <c r="B62" s="4" t="s">
        <v>113</v>
      </c>
      <c r="C62" s="4" t="s">
        <v>60</v>
      </c>
      <c r="D62" s="6">
        <v>685.0</v>
      </c>
      <c r="E62" s="6">
        <v>162.0</v>
      </c>
      <c r="F62" s="6">
        <v>162.0</v>
      </c>
      <c r="G62" s="6">
        <v>685.0</v>
      </c>
      <c r="H62" s="6">
        <v>3.0</v>
      </c>
      <c r="I62" s="6">
        <v>29.0</v>
      </c>
      <c r="J62" s="6">
        <v>417.0</v>
      </c>
      <c r="K62" s="6">
        <v>350.0</v>
      </c>
      <c r="L62" s="4" t="s">
        <v>50</v>
      </c>
      <c r="M62" s="6">
        <v>910.0</v>
      </c>
      <c r="N62" s="6">
        <v>400.0</v>
      </c>
      <c r="O62" s="6">
        <v>600.0</v>
      </c>
      <c r="P62" s="6">
        <v>448.0</v>
      </c>
      <c r="Q62" s="6">
        <v>2.0</v>
      </c>
      <c r="R62" s="6">
        <v>4.0</v>
      </c>
      <c r="S62" s="7"/>
      <c r="T62" s="6">
        <v>5.0</v>
      </c>
      <c r="U62" s="6">
        <v>299.0</v>
      </c>
      <c r="V62" s="7"/>
      <c r="W62" s="5">
        <v>4.0</v>
      </c>
      <c r="X62" s="8">
        <f t="shared" si="1"/>
        <v>0.8928571429</v>
      </c>
      <c r="Y62" s="9">
        <f t="shared" si="2"/>
        <v>848</v>
      </c>
      <c r="Z62" s="8">
        <f t="shared" si="3"/>
        <v>2.469135802</v>
      </c>
      <c r="AA62" s="8">
        <f t="shared" si="4"/>
        <v>2.765432099</v>
      </c>
      <c r="AB62" s="8">
        <f t="shared" si="5"/>
        <v>0.03086419753</v>
      </c>
      <c r="AC62" s="8">
        <f t="shared" si="6"/>
        <v>13.79310345</v>
      </c>
      <c r="AD62" s="8">
        <f t="shared" si="7"/>
        <v>15.44827586</v>
      </c>
      <c r="AE62" s="8">
        <f t="shared" si="8"/>
        <v>0.1724137931</v>
      </c>
      <c r="AF62" s="8">
        <f t="shared" si="9"/>
        <v>133.3333333</v>
      </c>
      <c r="AG62" s="8">
        <f t="shared" si="10"/>
        <v>149.3333333</v>
      </c>
      <c r="AH62" s="8">
        <f t="shared" si="11"/>
        <v>1.666666667</v>
      </c>
      <c r="AI62" s="10">
        <f t="shared" si="12"/>
        <v>0.9592326139</v>
      </c>
      <c r="AJ62" s="11">
        <f t="shared" si="13"/>
        <v>1.074340528</v>
      </c>
      <c r="AK62" s="12">
        <f t="shared" si="14"/>
        <v>0.01199040767</v>
      </c>
    </row>
    <row r="63">
      <c r="A63" s="4" t="s">
        <v>120</v>
      </c>
      <c r="B63" s="4" t="s">
        <v>113</v>
      </c>
      <c r="C63" s="4" t="s">
        <v>60</v>
      </c>
      <c r="D63" s="6">
        <v>857.0</v>
      </c>
      <c r="E63" s="6">
        <v>203.0</v>
      </c>
      <c r="F63" s="6">
        <v>203.0</v>
      </c>
      <c r="G63" s="6">
        <v>857.0</v>
      </c>
      <c r="H63" s="6">
        <v>3.0</v>
      </c>
      <c r="I63" s="6">
        <v>36.0</v>
      </c>
      <c r="J63" s="6">
        <v>522.0</v>
      </c>
      <c r="K63" s="6">
        <v>350.0</v>
      </c>
      <c r="L63" s="4" t="s">
        <v>50</v>
      </c>
      <c r="M63" s="6">
        <v>1000.0</v>
      </c>
      <c r="N63" s="6">
        <v>400.0</v>
      </c>
      <c r="O63" s="6">
        <v>600.0</v>
      </c>
      <c r="P63" s="6">
        <v>448.0</v>
      </c>
      <c r="Q63" s="6">
        <v>2.0</v>
      </c>
      <c r="R63" s="6">
        <v>4.0</v>
      </c>
      <c r="S63" s="7"/>
      <c r="T63" s="6">
        <v>5.0</v>
      </c>
      <c r="U63" s="6">
        <v>299.0</v>
      </c>
      <c r="V63" s="7"/>
      <c r="W63" s="5">
        <v>4.0</v>
      </c>
      <c r="X63" s="8">
        <f t="shared" si="1"/>
        <v>0.8928571429</v>
      </c>
      <c r="Y63" s="9">
        <f t="shared" si="2"/>
        <v>848</v>
      </c>
      <c r="Z63" s="8">
        <f t="shared" si="3"/>
        <v>1.97044335</v>
      </c>
      <c r="AA63" s="8">
        <f t="shared" si="4"/>
        <v>2.206896552</v>
      </c>
      <c r="AB63" s="8">
        <f t="shared" si="5"/>
        <v>0.02463054187</v>
      </c>
      <c r="AC63" s="8">
        <f t="shared" si="6"/>
        <v>11.11111111</v>
      </c>
      <c r="AD63" s="8">
        <f t="shared" si="7"/>
        <v>12.44444444</v>
      </c>
      <c r="AE63" s="8">
        <f t="shared" si="8"/>
        <v>0.1388888889</v>
      </c>
      <c r="AF63" s="8">
        <f t="shared" si="9"/>
        <v>133.3333333</v>
      </c>
      <c r="AG63" s="8">
        <f t="shared" si="10"/>
        <v>149.3333333</v>
      </c>
      <c r="AH63" s="8">
        <f t="shared" si="11"/>
        <v>1.666666667</v>
      </c>
      <c r="AI63" s="10">
        <f t="shared" si="12"/>
        <v>0.7662835249</v>
      </c>
      <c r="AJ63" s="11">
        <f t="shared" si="13"/>
        <v>0.8582375479</v>
      </c>
      <c r="AK63" s="12">
        <f t="shared" si="14"/>
        <v>0.009578544061</v>
      </c>
    </row>
    <row r="64">
      <c r="A64" s="4" t="s">
        <v>121</v>
      </c>
      <c r="B64" s="4" t="s">
        <v>113</v>
      </c>
      <c r="C64" s="4" t="s">
        <v>49</v>
      </c>
      <c r="D64" s="6">
        <v>732.0</v>
      </c>
      <c r="E64" s="6">
        <v>173.0</v>
      </c>
      <c r="F64" s="6">
        <v>173.0</v>
      </c>
      <c r="G64" s="6">
        <v>732.0</v>
      </c>
      <c r="H64" s="6">
        <v>6.0</v>
      </c>
      <c r="I64" s="6">
        <v>32.0</v>
      </c>
      <c r="J64" s="6">
        <v>459.0</v>
      </c>
      <c r="K64" s="6">
        <v>300.0</v>
      </c>
      <c r="L64" s="4" t="s">
        <v>50</v>
      </c>
      <c r="M64" s="6">
        <v>770.0</v>
      </c>
      <c r="N64" s="6">
        <v>1600.0</v>
      </c>
      <c r="O64" s="6">
        <v>1770.0</v>
      </c>
      <c r="P64" s="6">
        <v>405.0</v>
      </c>
      <c r="Q64" s="6">
        <v>2.0</v>
      </c>
      <c r="R64" s="6">
        <v>6.0</v>
      </c>
      <c r="S64" s="7"/>
      <c r="T64" s="6">
        <v>16.0</v>
      </c>
      <c r="U64" s="6">
        <v>375.0</v>
      </c>
      <c r="V64" s="7"/>
      <c r="W64" s="5">
        <v>6.0</v>
      </c>
      <c r="X64" s="8">
        <f t="shared" si="1"/>
        <v>3.950617284</v>
      </c>
      <c r="Y64" s="9">
        <f t="shared" si="2"/>
        <v>2005</v>
      </c>
      <c r="Z64" s="8">
        <f t="shared" si="3"/>
        <v>9.248554913</v>
      </c>
      <c r="AA64" s="8">
        <f t="shared" si="4"/>
        <v>2.341040462</v>
      </c>
      <c r="AB64" s="8">
        <f t="shared" si="5"/>
        <v>0.09248554913</v>
      </c>
      <c r="AC64" s="8">
        <f t="shared" si="6"/>
        <v>50</v>
      </c>
      <c r="AD64" s="8">
        <f t="shared" si="7"/>
        <v>12.65625</v>
      </c>
      <c r="AE64" s="8">
        <f t="shared" si="8"/>
        <v>0.5</v>
      </c>
      <c r="AF64" s="8">
        <f t="shared" si="9"/>
        <v>266.6666667</v>
      </c>
      <c r="AG64" s="8">
        <f t="shared" si="10"/>
        <v>67.5</v>
      </c>
      <c r="AH64" s="8">
        <f t="shared" si="11"/>
        <v>2.666666667</v>
      </c>
      <c r="AI64" s="10">
        <f t="shared" si="12"/>
        <v>3.48583878</v>
      </c>
      <c r="AJ64" s="11">
        <f t="shared" si="13"/>
        <v>0.8823529412</v>
      </c>
      <c r="AK64" s="12">
        <f t="shared" si="14"/>
        <v>0.0348583878</v>
      </c>
    </row>
    <row r="65">
      <c r="A65" s="4" t="s">
        <v>122</v>
      </c>
      <c r="B65" s="4" t="s">
        <v>113</v>
      </c>
      <c r="C65" s="4" t="s">
        <v>49</v>
      </c>
      <c r="D65" s="6">
        <v>1144.0</v>
      </c>
      <c r="E65" s="6">
        <v>271.0</v>
      </c>
      <c r="F65" s="6">
        <v>271.0</v>
      </c>
      <c r="G65" s="6">
        <v>1144.0</v>
      </c>
      <c r="H65" s="6">
        <v>3.0</v>
      </c>
      <c r="I65" s="6">
        <v>50.0</v>
      </c>
      <c r="J65" s="6">
        <v>969.0</v>
      </c>
      <c r="K65" s="6">
        <v>350.0</v>
      </c>
      <c r="L65" s="4" t="s">
        <v>50</v>
      </c>
      <c r="M65" s="6">
        <v>770.0</v>
      </c>
      <c r="N65" s="6">
        <v>2000.0</v>
      </c>
      <c r="O65" s="6">
        <v>1770.0</v>
      </c>
      <c r="P65" s="6">
        <v>600.0</v>
      </c>
      <c r="Q65" s="6">
        <v>2.0</v>
      </c>
      <c r="R65" s="6">
        <v>6.0</v>
      </c>
      <c r="S65" s="7"/>
      <c r="T65" s="6">
        <v>16.0</v>
      </c>
      <c r="U65" s="6">
        <v>375.0</v>
      </c>
      <c r="V65" s="7"/>
      <c r="W65" s="5">
        <v>6.0</v>
      </c>
      <c r="X65" s="8">
        <f t="shared" si="1"/>
        <v>3.333333333</v>
      </c>
      <c r="Y65" s="9">
        <f t="shared" si="2"/>
        <v>2600</v>
      </c>
      <c r="Z65" s="8">
        <f t="shared" si="3"/>
        <v>7.380073801</v>
      </c>
      <c r="AA65" s="8">
        <f t="shared" si="4"/>
        <v>2.21402214</v>
      </c>
      <c r="AB65" s="8">
        <f t="shared" si="5"/>
        <v>0.05904059041</v>
      </c>
      <c r="AC65" s="8">
        <f t="shared" si="6"/>
        <v>40</v>
      </c>
      <c r="AD65" s="8">
        <f t="shared" si="7"/>
        <v>12</v>
      </c>
      <c r="AE65" s="8">
        <f t="shared" si="8"/>
        <v>0.32</v>
      </c>
      <c r="AF65" s="8">
        <f t="shared" si="9"/>
        <v>666.6666667</v>
      </c>
      <c r="AG65" s="8">
        <f t="shared" si="10"/>
        <v>200</v>
      </c>
      <c r="AH65" s="8">
        <f t="shared" si="11"/>
        <v>5.333333333</v>
      </c>
      <c r="AI65" s="10">
        <f t="shared" si="12"/>
        <v>2.063983488</v>
      </c>
      <c r="AJ65" s="11">
        <f t="shared" si="13"/>
        <v>0.6191950464</v>
      </c>
      <c r="AK65" s="12">
        <f t="shared" si="14"/>
        <v>0.01651186791</v>
      </c>
    </row>
    <row r="66">
      <c r="A66" s="4" t="s">
        <v>123</v>
      </c>
      <c r="B66" s="4" t="s">
        <v>113</v>
      </c>
      <c r="C66" s="4" t="s">
        <v>73</v>
      </c>
      <c r="D66" s="6">
        <v>563.0</v>
      </c>
      <c r="E66" s="6">
        <v>133.0</v>
      </c>
      <c r="F66" s="6">
        <v>133.0</v>
      </c>
      <c r="G66" s="6">
        <v>563.0</v>
      </c>
      <c r="H66" s="6">
        <v>4.0</v>
      </c>
      <c r="I66" s="6">
        <v>24.0</v>
      </c>
      <c r="J66" s="6">
        <v>261.0</v>
      </c>
      <c r="K66" s="6">
        <v>350.0</v>
      </c>
      <c r="L66" s="4" t="s">
        <v>50</v>
      </c>
      <c r="M66" s="6">
        <v>770.0</v>
      </c>
      <c r="N66" s="6">
        <v>400.0</v>
      </c>
      <c r="O66" s="6">
        <v>400.0</v>
      </c>
      <c r="P66" s="6">
        <v>405.0</v>
      </c>
      <c r="Q66" s="6">
        <v>2.0</v>
      </c>
      <c r="R66" s="6">
        <v>4.0</v>
      </c>
      <c r="S66" s="7"/>
      <c r="T66" s="6">
        <v>11.0</v>
      </c>
      <c r="U66" s="6">
        <v>299.0</v>
      </c>
      <c r="V66" s="7"/>
      <c r="W66" s="5">
        <v>4.0</v>
      </c>
      <c r="X66" s="8">
        <f t="shared" si="1"/>
        <v>0.987654321</v>
      </c>
      <c r="Y66" s="9">
        <f t="shared" si="2"/>
        <v>805</v>
      </c>
      <c r="Z66" s="8">
        <f t="shared" si="3"/>
        <v>3.007518797</v>
      </c>
      <c r="AA66" s="8">
        <f t="shared" si="4"/>
        <v>3.045112782</v>
      </c>
      <c r="AB66" s="8">
        <f t="shared" si="5"/>
        <v>0.08270676692</v>
      </c>
      <c r="AC66" s="8">
        <f t="shared" si="6"/>
        <v>16.66666667</v>
      </c>
      <c r="AD66" s="8">
        <f t="shared" si="7"/>
        <v>16.875</v>
      </c>
      <c r="AE66" s="8">
        <f t="shared" si="8"/>
        <v>0.4583333333</v>
      </c>
      <c r="AF66" s="8">
        <f t="shared" si="9"/>
        <v>100</v>
      </c>
      <c r="AG66" s="8">
        <f t="shared" si="10"/>
        <v>101.25</v>
      </c>
      <c r="AH66" s="8">
        <f t="shared" si="11"/>
        <v>2.75</v>
      </c>
      <c r="AI66" s="10">
        <f t="shared" si="12"/>
        <v>1.53256705</v>
      </c>
      <c r="AJ66" s="11">
        <f t="shared" si="13"/>
        <v>1.551724138</v>
      </c>
      <c r="AK66" s="12">
        <f t="shared" si="14"/>
        <v>0.04214559387</v>
      </c>
    </row>
    <row r="67">
      <c r="A67" s="4" t="s">
        <v>124</v>
      </c>
      <c r="B67" s="4" t="s">
        <v>113</v>
      </c>
      <c r="C67" s="4" t="s">
        <v>91</v>
      </c>
      <c r="D67" s="6">
        <v>314.0</v>
      </c>
      <c r="E67" s="6">
        <v>74.0</v>
      </c>
      <c r="F67" s="6">
        <v>74.0</v>
      </c>
      <c r="G67" s="6">
        <v>314.0</v>
      </c>
      <c r="H67" s="6">
        <v>4.0</v>
      </c>
      <c r="I67" s="6">
        <v>13.0</v>
      </c>
      <c r="J67" s="6">
        <v>195.0</v>
      </c>
      <c r="K67" s="6">
        <v>315.0</v>
      </c>
      <c r="L67" s="4" t="s">
        <v>50</v>
      </c>
      <c r="M67" s="6">
        <v>860.0</v>
      </c>
      <c r="N67" s="6">
        <v>300.0</v>
      </c>
      <c r="O67" s="6">
        <v>350.0</v>
      </c>
      <c r="P67" s="6">
        <v>427.0</v>
      </c>
      <c r="Q67" s="6">
        <v>2.0</v>
      </c>
      <c r="R67" s="6">
        <v>3.0</v>
      </c>
      <c r="S67" s="7"/>
      <c r="T67" s="6">
        <v>6.0</v>
      </c>
      <c r="U67" s="6">
        <v>299.0</v>
      </c>
      <c r="V67" s="7"/>
      <c r="W67" s="5">
        <v>4.0</v>
      </c>
      <c r="X67" s="8">
        <f t="shared" si="1"/>
        <v>0.7025761124</v>
      </c>
      <c r="Y67" s="9">
        <f t="shared" si="2"/>
        <v>727</v>
      </c>
      <c r="Z67" s="8">
        <f t="shared" si="3"/>
        <v>4.054054054</v>
      </c>
      <c r="AA67" s="8">
        <f t="shared" si="4"/>
        <v>5.77027027</v>
      </c>
      <c r="AB67" s="8">
        <f t="shared" si="5"/>
        <v>0.08108108108</v>
      </c>
      <c r="AC67" s="8">
        <f t="shared" si="6"/>
        <v>23.07692308</v>
      </c>
      <c r="AD67" s="8">
        <f t="shared" si="7"/>
        <v>32.84615385</v>
      </c>
      <c r="AE67" s="8">
        <f t="shared" si="8"/>
        <v>0.4615384615</v>
      </c>
      <c r="AF67" s="8">
        <f t="shared" si="9"/>
        <v>75</v>
      </c>
      <c r="AG67" s="8">
        <f t="shared" si="10"/>
        <v>106.75</v>
      </c>
      <c r="AH67" s="8">
        <f t="shared" si="11"/>
        <v>1.5</v>
      </c>
      <c r="AI67" s="10">
        <f t="shared" si="12"/>
        <v>1.538461538</v>
      </c>
      <c r="AJ67" s="11">
        <f t="shared" si="13"/>
        <v>2.18974359</v>
      </c>
      <c r="AK67" s="12">
        <f t="shared" si="14"/>
        <v>0.03076923077</v>
      </c>
    </row>
    <row r="68">
      <c r="A68" s="4" t="s">
        <v>125</v>
      </c>
      <c r="B68" s="4" t="s">
        <v>113</v>
      </c>
      <c r="C68" s="4" t="s">
        <v>91</v>
      </c>
      <c r="D68" s="6">
        <v>393.0</v>
      </c>
      <c r="E68" s="6">
        <v>92.0</v>
      </c>
      <c r="F68" s="6">
        <v>92.0</v>
      </c>
      <c r="G68" s="6">
        <v>393.0</v>
      </c>
      <c r="H68" s="6">
        <v>4.0</v>
      </c>
      <c r="I68" s="6">
        <v>17.0</v>
      </c>
      <c r="J68" s="6">
        <v>246.0</v>
      </c>
      <c r="K68" s="6">
        <v>315.0</v>
      </c>
      <c r="L68" s="4" t="s">
        <v>50</v>
      </c>
      <c r="M68" s="6">
        <v>1000.0</v>
      </c>
      <c r="N68" s="6">
        <v>300.0</v>
      </c>
      <c r="O68" s="6">
        <v>350.0</v>
      </c>
      <c r="P68" s="6">
        <v>427.0</v>
      </c>
      <c r="Q68" s="6">
        <v>2.0</v>
      </c>
      <c r="R68" s="6">
        <v>3.0</v>
      </c>
      <c r="S68" s="7"/>
      <c r="T68" s="6">
        <v>6.0</v>
      </c>
      <c r="U68" s="6">
        <v>299.0</v>
      </c>
      <c r="V68" s="7"/>
      <c r="W68" s="5">
        <v>4.0</v>
      </c>
      <c r="X68" s="8">
        <f t="shared" si="1"/>
        <v>0.7025761124</v>
      </c>
      <c r="Y68" s="9">
        <f t="shared" si="2"/>
        <v>727</v>
      </c>
      <c r="Z68" s="8">
        <f t="shared" si="3"/>
        <v>3.260869565</v>
      </c>
      <c r="AA68" s="8">
        <f t="shared" si="4"/>
        <v>4.641304348</v>
      </c>
      <c r="AB68" s="8">
        <f t="shared" si="5"/>
        <v>0.0652173913</v>
      </c>
      <c r="AC68" s="8">
        <f t="shared" si="6"/>
        <v>17.64705882</v>
      </c>
      <c r="AD68" s="8">
        <f t="shared" si="7"/>
        <v>25.11764706</v>
      </c>
      <c r="AE68" s="8">
        <f t="shared" si="8"/>
        <v>0.3529411765</v>
      </c>
      <c r="AF68" s="8">
        <f t="shared" si="9"/>
        <v>75</v>
      </c>
      <c r="AG68" s="8">
        <f t="shared" si="10"/>
        <v>106.75</v>
      </c>
      <c r="AH68" s="8">
        <f t="shared" si="11"/>
        <v>1.5</v>
      </c>
      <c r="AI68" s="10">
        <f t="shared" si="12"/>
        <v>1.219512195</v>
      </c>
      <c r="AJ68" s="11">
        <f t="shared" si="13"/>
        <v>1.735772358</v>
      </c>
      <c r="AK68" s="12">
        <f t="shared" si="14"/>
        <v>0.0243902439</v>
      </c>
    </row>
    <row r="69">
      <c r="A69" s="4" t="s">
        <v>126</v>
      </c>
      <c r="B69" s="4" t="s">
        <v>113</v>
      </c>
      <c r="C69" s="4" t="s">
        <v>82</v>
      </c>
      <c r="D69" s="6">
        <v>651.0</v>
      </c>
      <c r="E69" s="6">
        <v>154.0</v>
      </c>
      <c r="F69" s="6">
        <v>154.0</v>
      </c>
      <c r="G69" s="6">
        <v>651.0</v>
      </c>
      <c r="H69" s="6">
        <v>0.0</v>
      </c>
      <c r="I69" s="6">
        <v>28.0</v>
      </c>
      <c r="J69" s="6">
        <v>407.0</v>
      </c>
      <c r="K69" s="6">
        <v>300.0</v>
      </c>
      <c r="L69" s="4" t="s">
        <v>50</v>
      </c>
      <c r="M69" s="6">
        <v>12000.0</v>
      </c>
      <c r="N69" s="6">
        <v>800.0</v>
      </c>
      <c r="O69" s="6">
        <v>780.0</v>
      </c>
      <c r="P69" s="6">
        <v>412.0</v>
      </c>
      <c r="Q69" s="6">
        <v>2.0</v>
      </c>
      <c r="R69" s="6">
        <v>10.0</v>
      </c>
      <c r="S69" s="7"/>
      <c r="T69" s="6">
        <v>21.0</v>
      </c>
      <c r="U69" s="6">
        <v>299.0</v>
      </c>
      <c r="V69" s="7"/>
      <c r="W69" s="5">
        <v>3.0</v>
      </c>
      <c r="X69" s="8">
        <f t="shared" si="1"/>
        <v>1.941747573</v>
      </c>
      <c r="Y69" s="9">
        <f t="shared" si="2"/>
        <v>1212</v>
      </c>
      <c r="Z69" s="8">
        <f t="shared" si="3"/>
        <v>5.194805195</v>
      </c>
      <c r="AA69" s="8">
        <f t="shared" si="4"/>
        <v>2.675324675</v>
      </c>
      <c r="AB69" s="8">
        <f t="shared" si="5"/>
        <v>0.1363636364</v>
      </c>
      <c r="AC69" s="8">
        <f t="shared" si="6"/>
        <v>28.57142857</v>
      </c>
      <c r="AD69" s="8">
        <f t="shared" si="7"/>
        <v>14.71428571</v>
      </c>
      <c r="AE69" s="8">
        <f t="shared" si="8"/>
        <v>0.75</v>
      </c>
      <c r="AF69" s="8" t="str">
        <f t="shared" si="9"/>
        <v>#DIV/0!</v>
      </c>
      <c r="AG69" s="8" t="str">
        <f t="shared" si="10"/>
        <v>#DIV/0!</v>
      </c>
      <c r="AH69" s="8" t="str">
        <f t="shared" si="11"/>
        <v>#DIV/0!</v>
      </c>
      <c r="AI69" s="10">
        <f t="shared" si="12"/>
        <v>1.965601966</v>
      </c>
      <c r="AJ69" s="11">
        <f t="shared" si="13"/>
        <v>1.012285012</v>
      </c>
      <c r="AK69" s="12">
        <f t="shared" si="14"/>
        <v>0.0515970516</v>
      </c>
    </row>
    <row r="70">
      <c r="A70" s="4" t="s">
        <v>127</v>
      </c>
      <c r="B70" s="4" t="s">
        <v>113</v>
      </c>
      <c r="C70" s="4" t="s">
        <v>64</v>
      </c>
      <c r="D70" s="6">
        <v>614.0</v>
      </c>
      <c r="E70" s="6">
        <v>146.0</v>
      </c>
      <c r="F70" s="6">
        <v>146.0</v>
      </c>
      <c r="G70" s="6">
        <v>614.0</v>
      </c>
      <c r="H70" s="6">
        <v>4.0</v>
      </c>
      <c r="I70" s="6">
        <v>26.0</v>
      </c>
      <c r="J70" s="6">
        <v>384.0</v>
      </c>
      <c r="K70" s="6">
        <v>269.0</v>
      </c>
      <c r="L70" s="4" t="s">
        <v>50</v>
      </c>
      <c r="M70" s="6">
        <v>840.0</v>
      </c>
      <c r="N70" s="6">
        <v>800.0</v>
      </c>
      <c r="O70" s="6">
        <v>800.0</v>
      </c>
      <c r="P70" s="6">
        <v>427.0</v>
      </c>
      <c r="Q70" s="6">
        <v>2.0</v>
      </c>
      <c r="R70" s="6">
        <v>3.0</v>
      </c>
      <c r="S70" s="7"/>
      <c r="T70" s="6">
        <v>5.0</v>
      </c>
      <c r="U70" s="6">
        <v>299.0</v>
      </c>
      <c r="V70" s="7"/>
      <c r="W70" s="5">
        <v>4.0</v>
      </c>
      <c r="X70" s="8">
        <f t="shared" si="1"/>
        <v>1.8735363</v>
      </c>
      <c r="Y70" s="9">
        <f t="shared" si="2"/>
        <v>1227</v>
      </c>
      <c r="Z70" s="8">
        <f t="shared" si="3"/>
        <v>5.479452055</v>
      </c>
      <c r="AA70" s="8">
        <f t="shared" si="4"/>
        <v>2.924657534</v>
      </c>
      <c r="AB70" s="8">
        <f t="shared" si="5"/>
        <v>0.03424657534</v>
      </c>
      <c r="AC70" s="8">
        <f t="shared" si="6"/>
        <v>30.76923077</v>
      </c>
      <c r="AD70" s="8">
        <f t="shared" si="7"/>
        <v>16.42307692</v>
      </c>
      <c r="AE70" s="8">
        <f t="shared" si="8"/>
        <v>0.1923076923</v>
      </c>
      <c r="AF70" s="8">
        <f t="shared" si="9"/>
        <v>200</v>
      </c>
      <c r="AG70" s="8">
        <f t="shared" si="10"/>
        <v>106.75</v>
      </c>
      <c r="AH70" s="8">
        <f t="shared" si="11"/>
        <v>1.25</v>
      </c>
      <c r="AI70" s="10">
        <f t="shared" si="12"/>
        <v>2.083333333</v>
      </c>
      <c r="AJ70" s="11">
        <f t="shared" si="13"/>
        <v>1.111979167</v>
      </c>
      <c r="AK70" s="12">
        <f t="shared" si="14"/>
        <v>0.01302083333</v>
      </c>
    </row>
    <row r="71">
      <c r="A71" s="4" t="s">
        <v>128</v>
      </c>
      <c r="B71" s="4" t="s">
        <v>113</v>
      </c>
      <c r="C71" s="4" t="s">
        <v>64</v>
      </c>
      <c r="D71" s="6">
        <v>768.0</v>
      </c>
      <c r="E71" s="6">
        <v>182.0</v>
      </c>
      <c r="F71" s="6">
        <v>182.0</v>
      </c>
      <c r="G71" s="6">
        <v>768.0</v>
      </c>
      <c r="H71" s="6">
        <v>4.0</v>
      </c>
      <c r="I71" s="6">
        <v>33.0</v>
      </c>
      <c r="J71" s="6">
        <v>481.0</v>
      </c>
      <c r="K71" s="6">
        <v>269.0</v>
      </c>
      <c r="L71" s="4" t="s">
        <v>50</v>
      </c>
      <c r="M71" s="6">
        <v>1000.0</v>
      </c>
      <c r="N71" s="6">
        <v>800.0</v>
      </c>
      <c r="O71" s="6">
        <v>800.0</v>
      </c>
      <c r="P71" s="6">
        <v>427.0</v>
      </c>
      <c r="Q71" s="6">
        <v>2.0</v>
      </c>
      <c r="R71" s="6">
        <v>3.0</v>
      </c>
      <c r="S71" s="7"/>
      <c r="T71" s="6">
        <v>5.0</v>
      </c>
      <c r="U71" s="6">
        <v>299.0</v>
      </c>
      <c r="V71" s="7"/>
      <c r="W71" s="5">
        <v>4.0</v>
      </c>
      <c r="X71" s="8">
        <f t="shared" si="1"/>
        <v>1.8735363</v>
      </c>
      <c r="Y71" s="9">
        <f t="shared" si="2"/>
        <v>1227</v>
      </c>
      <c r="Z71" s="8">
        <f t="shared" si="3"/>
        <v>4.395604396</v>
      </c>
      <c r="AA71" s="8">
        <f t="shared" si="4"/>
        <v>2.346153846</v>
      </c>
      <c r="AB71" s="8">
        <f t="shared" si="5"/>
        <v>0.02747252747</v>
      </c>
      <c r="AC71" s="8">
        <f t="shared" si="6"/>
        <v>24.24242424</v>
      </c>
      <c r="AD71" s="8">
        <f t="shared" si="7"/>
        <v>12.93939394</v>
      </c>
      <c r="AE71" s="8">
        <f t="shared" si="8"/>
        <v>0.1515151515</v>
      </c>
      <c r="AF71" s="8">
        <f t="shared" si="9"/>
        <v>200</v>
      </c>
      <c r="AG71" s="8">
        <f t="shared" si="10"/>
        <v>106.75</v>
      </c>
      <c r="AH71" s="8">
        <f t="shared" si="11"/>
        <v>1.25</v>
      </c>
      <c r="AI71" s="10">
        <f t="shared" si="12"/>
        <v>1.663201663</v>
      </c>
      <c r="AJ71" s="11">
        <f t="shared" si="13"/>
        <v>0.8877338877</v>
      </c>
      <c r="AK71" s="12">
        <f t="shared" si="14"/>
        <v>0.0103950104</v>
      </c>
    </row>
    <row r="72">
      <c r="A72" s="4" t="s">
        <v>129</v>
      </c>
      <c r="B72" s="4" t="s">
        <v>113</v>
      </c>
      <c r="C72" s="4" t="s">
        <v>73</v>
      </c>
      <c r="D72" s="6">
        <v>857.0</v>
      </c>
      <c r="E72" s="6">
        <v>203.0</v>
      </c>
      <c r="F72" s="6">
        <v>203.0</v>
      </c>
      <c r="G72" s="6">
        <v>857.0</v>
      </c>
      <c r="H72" s="6">
        <v>6.0</v>
      </c>
      <c r="I72" s="6">
        <v>37.0</v>
      </c>
      <c r="J72" s="6">
        <v>397.0</v>
      </c>
      <c r="K72" s="6">
        <v>400.0</v>
      </c>
      <c r="L72" s="4" t="s">
        <v>50</v>
      </c>
      <c r="M72" s="6">
        <v>1000.0</v>
      </c>
      <c r="N72" s="6">
        <v>600.0</v>
      </c>
      <c r="O72" s="6">
        <v>500.0</v>
      </c>
      <c r="P72" s="6">
        <v>513.0</v>
      </c>
      <c r="Q72" s="6">
        <v>2.0</v>
      </c>
      <c r="R72" s="6">
        <v>6.0</v>
      </c>
      <c r="S72" s="7"/>
      <c r="T72" s="6">
        <v>17.0</v>
      </c>
      <c r="U72" s="6">
        <v>224.0</v>
      </c>
      <c r="V72" s="7"/>
      <c r="W72" s="5">
        <v>4.0</v>
      </c>
      <c r="X72" s="8">
        <f t="shared" si="1"/>
        <v>1.169590643</v>
      </c>
      <c r="Y72" s="9">
        <f t="shared" si="2"/>
        <v>1113</v>
      </c>
      <c r="Z72" s="8">
        <f t="shared" si="3"/>
        <v>2.955665025</v>
      </c>
      <c r="AA72" s="8">
        <f t="shared" si="4"/>
        <v>2.527093596</v>
      </c>
      <c r="AB72" s="8">
        <f t="shared" si="5"/>
        <v>0.08374384236</v>
      </c>
      <c r="AC72" s="8">
        <f t="shared" si="6"/>
        <v>16.21621622</v>
      </c>
      <c r="AD72" s="8">
        <f t="shared" si="7"/>
        <v>13.86486486</v>
      </c>
      <c r="AE72" s="8">
        <f t="shared" si="8"/>
        <v>0.4594594595</v>
      </c>
      <c r="AF72" s="8">
        <f t="shared" si="9"/>
        <v>100</v>
      </c>
      <c r="AG72" s="8">
        <f t="shared" si="10"/>
        <v>85.5</v>
      </c>
      <c r="AH72" s="8">
        <f t="shared" si="11"/>
        <v>2.833333333</v>
      </c>
      <c r="AI72" s="10">
        <f t="shared" si="12"/>
        <v>1.511335013</v>
      </c>
      <c r="AJ72" s="11">
        <f t="shared" si="13"/>
        <v>1.292191436</v>
      </c>
      <c r="AK72" s="12">
        <f t="shared" si="14"/>
        <v>0.04282115869</v>
      </c>
    </row>
    <row r="73">
      <c r="A73" s="4" t="s">
        <v>130</v>
      </c>
      <c r="B73" s="4" t="s">
        <v>113</v>
      </c>
      <c r="C73" s="4" t="s">
        <v>73</v>
      </c>
      <c r="D73" s="6">
        <v>1235.0</v>
      </c>
      <c r="E73" s="6">
        <v>297.0</v>
      </c>
      <c r="F73" s="6">
        <v>297.0</v>
      </c>
      <c r="G73" s="6">
        <v>1235.0</v>
      </c>
      <c r="H73" s="6">
        <v>3.0</v>
      </c>
      <c r="I73" s="6">
        <v>54.0</v>
      </c>
      <c r="J73" s="6">
        <v>774.0</v>
      </c>
      <c r="K73" s="6">
        <v>410.0</v>
      </c>
      <c r="L73" s="4" t="s">
        <v>50</v>
      </c>
      <c r="M73" s="6">
        <v>1000.0</v>
      </c>
      <c r="N73" s="6">
        <v>800.0</v>
      </c>
      <c r="O73" s="6">
        <v>500.0</v>
      </c>
      <c r="P73" s="6">
        <v>700.0</v>
      </c>
      <c r="Q73" s="6">
        <v>2.0</v>
      </c>
      <c r="R73" s="6">
        <v>6.0</v>
      </c>
      <c r="S73" s="7"/>
      <c r="T73" s="6">
        <v>17.0</v>
      </c>
      <c r="U73" s="6">
        <v>224.0</v>
      </c>
      <c r="V73" s="7"/>
      <c r="W73" s="5">
        <v>4.0</v>
      </c>
      <c r="X73" s="8">
        <f t="shared" si="1"/>
        <v>1.142857143</v>
      </c>
      <c r="Y73" s="9">
        <f t="shared" si="2"/>
        <v>1500</v>
      </c>
      <c r="Z73" s="8">
        <f t="shared" si="3"/>
        <v>2.693602694</v>
      </c>
      <c r="AA73" s="8">
        <f t="shared" si="4"/>
        <v>2.356902357</v>
      </c>
      <c r="AB73" s="8">
        <f t="shared" si="5"/>
        <v>0.05723905724</v>
      </c>
      <c r="AC73" s="8">
        <f t="shared" si="6"/>
        <v>14.81481481</v>
      </c>
      <c r="AD73" s="8">
        <f t="shared" si="7"/>
        <v>12.96296296</v>
      </c>
      <c r="AE73" s="8">
        <f t="shared" si="8"/>
        <v>0.3148148148</v>
      </c>
      <c r="AF73" s="8">
        <f t="shared" si="9"/>
        <v>266.6666667</v>
      </c>
      <c r="AG73" s="8">
        <f t="shared" si="10"/>
        <v>233.3333333</v>
      </c>
      <c r="AH73" s="8">
        <f t="shared" si="11"/>
        <v>5.666666667</v>
      </c>
      <c r="AI73" s="10">
        <f t="shared" si="12"/>
        <v>1.033591731</v>
      </c>
      <c r="AJ73" s="11">
        <f t="shared" si="13"/>
        <v>0.9043927649</v>
      </c>
      <c r="AK73" s="12">
        <f t="shared" si="14"/>
        <v>0.02196382429</v>
      </c>
    </row>
    <row r="74">
      <c r="A74" s="4" t="s">
        <v>131</v>
      </c>
      <c r="B74" s="4" t="s">
        <v>132</v>
      </c>
      <c r="C74" s="4" t="s">
        <v>91</v>
      </c>
      <c r="D74" s="6">
        <v>1653.0</v>
      </c>
      <c r="E74" s="6">
        <v>393.0</v>
      </c>
      <c r="F74" s="6">
        <v>393.0</v>
      </c>
      <c r="G74" s="6">
        <v>1653.0</v>
      </c>
      <c r="H74" s="6">
        <v>32.0</v>
      </c>
      <c r="I74" s="6">
        <v>72.0</v>
      </c>
      <c r="J74" s="6">
        <v>1036.0</v>
      </c>
      <c r="K74" s="6">
        <v>75.0</v>
      </c>
      <c r="L74" s="4" t="s">
        <v>133</v>
      </c>
      <c r="M74" s="6">
        <v>216000.0</v>
      </c>
      <c r="N74" s="6">
        <v>1600.0</v>
      </c>
      <c r="O74" s="6">
        <v>950.0</v>
      </c>
      <c r="P74" s="6">
        <v>5000.0</v>
      </c>
      <c r="Q74" s="6">
        <v>4.0</v>
      </c>
      <c r="R74" s="6">
        <v>8.0</v>
      </c>
      <c r="S74" s="7"/>
      <c r="T74" s="6">
        <v>6.0</v>
      </c>
      <c r="U74" s="6">
        <v>247.0</v>
      </c>
      <c r="V74" s="5">
        <v>6.0</v>
      </c>
      <c r="W74" s="5">
        <v>1.0</v>
      </c>
      <c r="X74" s="8">
        <f t="shared" si="1"/>
        <v>0.32</v>
      </c>
      <c r="Y74" s="9">
        <f t="shared" si="2"/>
        <v>6600</v>
      </c>
      <c r="Z74" s="8">
        <f t="shared" si="3"/>
        <v>4.071246819</v>
      </c>
      <c r="AA74" s="8">
        <f t="shared" si="4"/>
        <v>12.72264631</v>
      </c>
      <c r="AB74" s="8">
        <f t="shared" si="5"/>
        <v>0.01526717557</v>
      </c>
      <c r="AC74" s="8">
        <f t="shared" si="6"/>
        <v>22.22222222</v>
      </c>
      <c r="AD74" s="8">
        <f t="shared" si="7"/>
        <v>69.44444444</v>
      </c>
      <c r="AE74" s="8">
        <f t="shared" si="8"/>
        <v>0.08333333333</v>
      </c>
      <c r="AF74" s="8">
        <f t="shared" si="9"/>
        <v>50</v>
      </c>
      <c r="AG74" s="8">
        <f t="shared" si="10"/>
        <v>156.25</v>
      </c>
      <c r="AH74" s="8">
        <f t="shared" si="11"/>
        <v>0.1875</v>
      </c>
      <c r="AI74" s="10">
        <f t="shared" si="12"/>
        <v>1.544401544</v>
      </c>
      <c r="AJ74" s="11">
        <f t="shared" si="13"/>
        <v>4.826254826</v>
      </c>
      <c r="AK74" s="12">
        <f t="shared" si="14"/>
        <v>0.005791505792</v>
      </c>
    </row>
    <row r="75">
      <c r="A75" s="4" t="s">
        <v>134</v>
      </c>
      <c r="B75" s="4" t="s">
        <v>132</v>
      </c>
      <c r="C75" s="4" t="s">
        <v>56</v>
      </c>
      <c r="D75" s="6">
        <v>2031.0</v>
      </c>
      <c r="E75" s="6">
        <v>482.0</v>
      </c>
      <c r="F75" s="6">
        <v>482.0</v>
      </c>
      <c r="G75" s="6">
        <v>2031.0</v>
      </c>
      <c r="H75" s="6">
        <v>30.0</v>
      </c>
      <c r="I75" s="6">
        <v>91.0</v>
      </c>
      <c r="J75" s="6">
        <v>1311.0</v>
      </c>
      <c r="K75" s="6">
        <v>133.0</v>
      </c>
      <c r="L75" s="4" t="s">
        <v>133</v>
      </c>
      <c r="M75" s="6">
        <v>137000.0</v>
      </c>
      <c r="N75" s="6">
        <v>2000.0</v>
      </c>
      <c r="O75" s="6">
        <v>1800.0</v>
      </c>
      <c r="P75" s="6">
        <v>2000.0</v>
      </c>
      <c r="Q75" s="6">
        <v>4.0</v>
      </c>
      <c r="R75" s="6">
        <v>8.0</v>
      </c>
      <c r="S75" s="7"/>
      <c r="T75" s="6">
        <v>6.0</v>
      </c>
      <c r="U75" s="6">
        <v>224.0</v>
      </c>
      <c r="V75" s="5">
        <v>8.0</v>
      </c>
      <c r="W75" s="5">
        <v>1.0</v>
      </c>
      <c r="X75" s="8">
        <f t="shared" si="1"/>
        <v>1</v>
      </c>
      <c r="Y75" s="9">
        <f t="shared" si="2"/>
        <v>4000</v>
      </c>
      <c r="Z75" s="8">
        <f t="shared" si="3"/>
        <v>4.149377593</v>
      </c>
      <c r="AA75" s="8">
        <f t="shared" si="4"/>
        <v>4.149377593</v>
      </c>
      <c r="AB75" s="8">
        <f t="shared" si="5"/>
        <v>0.01244813278</v>
      </c>
      <c r="AC75" s="8">
        <f t="shared" si="6"/>
        <v>21.97802198</v>
      </c>
      <c r="AD75" s="8">
        <f t="shared" si="7"/>
        <v>21.97802198</v>
      </c>
      <c r="AE75" s="8">
        <f t="shared" si="8"/>
        <v>0.06593406593</v>
      </c>
      <c r="AF75" s="8">
        <f t="shared" si="9"/>
        <v>66.66666667</v>
      </c>
      <c r="AG75" s="8">
        <f t="shared" si="10"/>
        <v>66.66666667</v>
      </c>
      <c r="AH75" s="8">
        <f t="shared" si="11"/>
        <v>0.2</v>
      </c>
      <c r="AI75" s="10">
        <f t="shared" si="12"/>
        <v>1.525553013</v>
      </c>
      <c r="AJ75" s="11">
        <f t="shared" si="13"/>
        <v>1.525553013</v>
      </c>
      <c r="AK75" s="12">
        <f t="shared" si="14"/>
        <v>0.004576659039</v>
      </c>
    </row>
    <row r="76">
      <c r="A76" s="4" t="s">
        <v>135</v>
      </c>
      <c r="B76" s="4" t="s">
        <v>132</v>
      </c>
      <c r="C76" s="4" t="s">
        <v>60</v>
      </c>
      <c r="D76" s="6">
        <v>2075.0</v>
      </c>
      <c r="E76" s="6">
        <v>492.0</v>
      </c>
      <c r="F76" s="6">
        <v>492.0</v>
      </c>
      <c r="G76" s="6">
        <v>2075.0</v>
      </c>
      <c r="H76" s="6">
        <v>19.0</v>
      </c>
      <c r="I76" s="6">
        <v>88.0</v>
      </c>
      <c r="J76" s="6">
        <v>1263.0</v>
      </c>
      <c r="K76" s="6">
        <v>110.0</v>
      </c>
      <c r="L76" s="4" t="s">
        <v>133</v>
      </c>
      <c r="M76" s="6">
        <v>120000.0</v>
      </c>
      <c r="N76" s="6">
        <v>2000.0</v>
      </c>
      <c r="O76" s="6">
        <v>1800.0</v>
      </c>
      <c r="P76" s="6">
        <v>2000.0</v>
      </c>
      <c r="Q76" s="6">
        <v>4.0</v>
      </c>
      <c r="R76" s="6">
        <v>8.0</v>
      </c>
      <c r="S76" s="7"/>
      <c r="T76" s="6">
        <v>7.0</v>
      </c>
      <c r="U76" s="6">
        <v>202.0</v>
      </c>
      <c r="V76" s="5">
        <v>7.0</v>
      </c>
      <c r="W76" s="5">
        <v>1.0</v>
      </c>
      <c r="X76" s="8">
        <f t="shared" si="1"/>
        <v>1</v>
      </c>
      <c r="Y76" s="9">
        <f t="shared" si="2"/>
        <v>4000</v>
      </c>
      <c r="Z76" s="8">
        <f t="shared" si="3"/>
        <v>4.06504065</v>
      </c>
      <c r="AA76" s="8">
        <f t="shared" si="4"/>
        <v>4.06504065</v>
      </c>
      <c r="AB76" s="8">
        <f t="shared" si="5"/>
        <v>0.01422764228</v>
      </c>
      <c r="AC76" s="8">
        <f t="shared" si="6"/>
        <v>22.72727273</v>
      </c>
      <c r="AD76" s="8">
        <f t="shared" si="7"/>
        <v>22.72727273</v>
      </c>
      <c r="AE76" s="8">
        <f t="shared" si="8"/>
        <v>0.07954545455</v>
      </c>
      <c r="AF76" s="8">
        <f t="shared" si="9"/>
        <v>105.2631579</v>
      </c>
      <c r="AG76" s="8">
        <f t="shared" si="10"/>
        <v>105.2631579</v>
      </c>
      <c r="AH76" s="8">
        <f t="shared" si="11"/>
        <v>0.3684210526</v>
      </c>
      <c r="AI76" s="10">
        <f t="shared" si="12"/>
        <v>1.583531275</v>
      </c>
      <c r="AJ76" s="11">
        <f t="shared" si="13"/>
        <v>1.583531275</v>
      </c>
      <c r="AK76" s="12">
        <f t="shared" si="14"/>
        <v>0.005542359462</v>
      </c>
    </row>
    <row r="77">
      <c r="A77" s="4" t="s">
        <v>136</v>
      </c>
      <c r="B77" s="4" t="s">
        <v>132</v>
      </c>
      <c r="C77" s="4" t="s">
        <v>73</v>
      </c>
      <c r="D77" s="6">
        <v>2219.0</v>
      </c>
      <c r="E77" s="6">
        <v>527.0</v>
      </c>
      <c r="F77" s="6">
        <v>527.0</v>
      </c>
      <c r="G77" s="6">
        <v>2219.0</v>
      </c>
      <c r="H77" s="6">
        <v>26.0</v>
      </c>
      <c r="I77" s="6">
        <v>96.0</v>
      </c>
      <c r="J77" s="6">
        <v>1030.0</v>
      </c>
      <c r="K77" s="6">
        <v>113.0</v>
      </c>
      <c r="L77" s="4" t="s">
        <v>133</v>
      </c>
      <c r="M77" s="6">
        <v>145000.0</v>
      </c>
      <c r="N77" s="6">
        <v>2000.0</v>
      </c>
      <c r="O77" s="6">
        <v>1800.0</v>
      </c>
      <c r="P77" s="6">
        <v>2000.0</v>
      </c>
      <c r="Q77" s="6">
        <v>4.0</v>
      </c>
      <c r="R77" s="6">
        <v>8.0</v>
      </c>
      <c r="S77" s="7"/>
      <c r="T77" s="6">
        <v>6.0</v>
      </c>
      <c r="U77" s="6">
        <v>224.0</v>
      </c>
      <c r="V77" s="5">
        <v>6.0</v>
      </c>
      <c r="W77" s="5">
        <v>1.0</v>
      </c>
      <c r="X77" s="8">
        <f t="shared" si="1"/>
        <v>1</v>
      </c>
      <c r="Y77" s="9">
        <f t="shared" si="2"/>
        <v>4000</v>
      </c>
      <c r="Z77" s="8">
        <f t="shared" si="3"/>
        <v>3.795066414</v>
      </c>
      <c r="AA77" s="8">
        <f t="shared" si="4"/>
        <v>3.795066414</v>
      </c>
      <c r="AB77" s="8">
        <f t="shared" si="5"/>
        <v>0.01138519924</v>
      </c>
      <c r="AC77" s="8">
        <f t="shared" si="6"/>
        <v>20.83333333</v>
      </c>
      <c r="AD77" s="8">
        <f t="shared" si="7"/>
        <v>20.83333333</v>
      </c>
      <c r="AE77" s="8">
        <f t="shared" si="8"/>
        <v>0.0625</v>
      </c>
      <c r="AF77" s="8">
        <f t="shared" si="9"/>
        <v>76.92307692</v>
      </c>
      <c r="AG77" s="8">
        <f t="shared" si="10"/>
        <v>76.92307692</v>
      </c>
      <c r="AH77" s="8">
        <f t="shared" si="11"/>
        <v>0.2307692308</v>
      </c>
      <c r="AI77" s="10">
        <f t="shared" si="12"/>
        <v>1.941747573</v>
      </c>
      <c r="AJ77" s="11">
        <f t="shared" si="13"/>
        <v>1.941747573</v>
      </c>
      <c r="AK77" s="12">
        <f t="shared" si="14"/>
        <v>0.005825242718</v>
      </c>
    </row>
    <row r="78">
      <c r="A78" s="4" t="s">
        <v>137</v>
      </c>
      <c r="B78" s="4" t="s">
        <v>132</v>
      </c>
      <c r="C78" s="4" t="s">
        <v>64</v>
      </c>
      <c r="D78" s="6">
        <v>2844.0</v>
      </c>
      <c r="E78" s="6">
        <v>676.0</v>
      </c>
      <c r="F78" s="6">
        <v>676.0</v>
      </c>
      <c r="G78" s="6">
        <v>2844.0</v>
      </c>
      <c r="H78" s="6">
        <v>30.0</v>
      </c>
      <c r="I78" s="6">
        <v>124.0</v>
      </c>
      <c r="J78" s="6">
        <v>1782.0</v>
      </c>
      <c r="K78" s="6">
        <v>64.0</v>
      </c>
      <c r="L78" s="4" t="s">
        <v>133</v>
      </c>
      <c r="M78" s="6">
        <v>186000.0</v>
      </c>
      <c r="N78" s="6">
        <v>3000.0</v>
      </c>
      <c r="O78" s="6">
        <v>1800.0</v>
      </c>
      <c r="P78" s="6">
        <v>4000.0</v>
      </c>
      <c r="Q78" s="6">
        <v>4.0</v>
      </c>
      <c r="R78" s="6">
        <v>8.0</v>
      </c>
      <c r="S78" s="7"/>
      <c r="T78" s="6">
        <v>8.0</v>
      </c>
      <c r="U78" s="6">
        <v>247.0</v>
      </c>
      <c r="V78" s="5">
        <v>7.0</v>
      </c>
      <c r="W78" s="5">
        <v>1.0</v>
      </c>
      <c r="X78" s="8">
        <f t="shared" si="1"/>
        <v>0.75</v>
      </c>
      <c r="Y78" s="9">
        <f t="shared" si="2"/>
        <v>7000</v>
      </c>
      <c r="Z78" s="8">
        <f t="shared" si="3"/>
        <v>4.437869822</v>
      </c>
      <c r="AA78" s="8">
        <f t="shared" si="4"/>
        <v>5.917159763</v>
      </c>
      <c r="AB78" s="8">
        <f t="shared" si="5"/>
        <v>0.01183431953</v>
      </c>
      <c r="AC78" s="8">
        <f t="shared" si="6"/>
        <v>24.19354839</v>
      </c>
      <c r="AD78" s="8">
        <f t="shared" si="7"/>
        <v>32.25806452</v>
      </c>
      <c r="AE78" s="8">
        <f t="shared" si="8"/>
        <v>0.06451612903</v>
      </c>
      <c r="AF78" s="8">
        <f t="shared" si="9"/>
        <v>100</v>
      </c>
      <c r="AG78" s="8">
        <f t="shared" si="10"/>
        <v>133.3333333</v>
      </c>
      <c r="AH78" s="8">
        <f t="shared" si="11"/>
        <v>0.2666666667</v>
      </c>
      <c r="AI78" s="10">
        <f t="shared" si="12"/>
        <v>1.683501684</v>
      </c>
      <c r="AJ78" s="11">
        <f t="shared" si="13"/>
        <v>2.244668911</v>
      </c>
      <c r="AK78" s="12">
        <f t="shared" si="14"/>
        <v>0.004489337823</v>
      </c>
    </row>
    <row r="79">
      <c r="A79" s="4" t="s">
        <v>138</v>
      </c>
      <c r="B79" s="4" t="s">
        <v>132</v>
      </c>
      <c r="C79" s="4" t="s">
        <v>139</v>
      </c>
      <c r="D79" s="6">
        <v>1784.0</v>
      </c>
      <c r="E79" s="6">
        <v>424.0</v>
      </c>
      <c r="F79" s="6">
        <v>424.0</v>
      </c>
      <c r="G79" s="6">
        <v>1784.0</v>
      </c>
      <c r="H79" s="6">
        <v>23.0</v>
      </c>
      <c r="I79" s="6">
        <v>77.0</v>
      </c>
      <c r="J79" s="6">
        <v>828.0</v>
      </c>
      <c r="K79" s="6">
        <v>104.0</v>
      </c>
      <c r="L79" s="4" t="s">
        <v>133</v>
      </c>
      <c r="M79" s="6">
        <v>116000.0</v>
      </c>
      <c r="N79" s="6">
        <v>1000.0</v>
      </c>
      <c r="O79" s="6">
        <v>1700.0</v>
      </c>
      <c r="P79" s="6">
        <v>2000.0</v>
      </c>
      <c r="Q79" s="6">
        <v>0.0</v>
      </c>
      <c r="R79" s="6">
        <v>0.0</v>
      </c>
      <c r="S79" s="7"/>
      <c r="T79" s="6">
        <v>0.0</v>
      </c>
      <c r="U79" s="6">
        <v>224.0</v>
      </c>
      <c r="W79" s="5">
        <v>12.0</v>
      </c>
      <c r="X79" s="8">
        <f t="shared" si="1"/>
        <v>0.5</v>
      </c>
      <c r="Y79" s="9">
        <f t="shared" si="2"/>
        <v>3000</v>
      </c>
      <c r="Z79" s="8">
        <f t="shared" si="3"/>
        <v>2.358490566</v>
      </c>
      <c r="AA79" s="8">
        <f t="shared" si="4"/>
        <v>4.716981132</v>
      </c>
      <c r="AB79" s="8">
        <f t="shared" si="5"/>
        <v>0</v>
      </c>
      <c r="AC79" s="8">
        <f t="shared" si="6"/>
        <v>12.98701299</v>
      </c>
      <c r="AD79" s="8">
        <f t="shared" si="7"/>
        <v>25.97402597</v>
      </c>
      <c r="AE79" s="8">
        <f t="shared" si="8"/>
        <v>0</v>
      </c>
      <c r="AF79" s="8">
        <f t="shared" si="9"/>
        <v>43.47826087</v>
      </c>
      <c r="AG79" s="8">
        <f t="shared" si="10"/>
        <v>86.95652174</v>
      </c>
      <c r="AH79" s="8">
        <f t="shared" si="11"/>
        <v>0</v>
      </c>
      <c r="AI79" s="10">
        <f t="shared" si="12"/>
        <v>1.207729469</v>
      </c>
      <c r="AJ79" s="11">
        <f t="shared" si="13"/>
        <v>2.415458937</v>
      </c>
      <c r="AK79" s="12">
        <f t="shared" si="14"/>
        <v>0</v>
      </c>
    </row>
    <row r="80">
      <c r="A80" s="4" t="s">
        <v>140</v>
      </c>
      <c r="B80" s="4" t="s">
        <v>132</v>
      </c>
      <c r="C80" s="4" t="s">
        <v>82</v>
      </c>
      <c r="D80" s="6">
        <v>1938.0</v>
      </c>
      <c r="E80" s="6">
        <v>461.0</v>
      </c>
      <c r="F80" s="6">
        <v>461.0</v>
      </c>
      <c r="G80" s="6">
        <v>1938.0</v>
      </c>
      <c r="H80" s="6">
        <v>0.0</v>
      </c>
      <c r="I80" s="6">
        <v>84.0</v>
      </c>
      <c r="J80" s="6">
        <v>1214.0</v>
      </c>
      <c r="K80" s="6">
        <v>127.0</v>
      </c>
      <c r="L80" s="4" t="s">
        <v>133</v>
      </c>
      <c r="M80" s="6">
        <v>143000.0</v>
      </c>
      <c r="N80" s="6">
        <v>6000.0</v>
      </c>
      <c r="O80" s="6">
        <v>1770.0</v>
      </c>
      <c r="P80" s="6">
        <v>4000.0</v>
      </c>
      <c r="Q80" s="6">
        <v>5.0</v>
      </c>
      <c r="R80" s="6">
        <v>14.0</v>
      </c>
      <c r="S80" s="7"/>
      <c r="T80" s="6">
        <v>65.0</v>
      </c>
      <c r="U80" s="6">
        <v>249.0</v>
      </c>
      <c r="V80" s="5">
        <v>6.0</v>
      </c>
      <c r="W80" s="5">
        <v>2.0</v>
      </c>
      <c r="X80" s="8">
        <f t="shared" si="1"/>
        <v>1.5</v>
      </c>
      <c r="Y80" s="9">
        <f t="shared" si="2"/>
        <v>10000</v>
      </c>
      <c r="Z80" s="8">
        <f t="shared" si="3"/>
        <v>13.01518438</v>
      </c>
      <c r="AA80" s="8">
        <f t="shared" si="4"/>
        <v>8.676789588</v>
      </c>
      <c r="AB80" s="8">
        <f t="shared" si="5"/>
        <v>0.1409978308</v>
      </c>
      <c r="AC80" s="8">
        <f t="shared" si="6"/>
        <v>71.42857143</v>
      </c>
      <c r="AD80" s="8">
        <f t="shared" si="7"/>
        <v>47.61904762</v>
      </c>
      <c r="AE80" s="8">
        <f t="shared" si="8"/>
        <v>0.7738095238</v>
      </c>
      <c r="AF80" s="8" t="str">
        <f t="shared" si="9"/>
        <v>#DIV/0!</v>
      </c>
      <c r="AG80" s="8" t="str">
        <f t="shared" si="10"/>
        <v>#DIV/0!</v>
      </c>
      <c r="AH80" s="8" t="str">
        <f t="shared" si="11"/>
        <v>#DIV/0!</v>
      </c>
      <c r="AI80" s="10">
        <f t="shared" si="12"/>
        <v>4.942339374</v>
      </c>
      <c r="AJ80" s="11">
        <f t="shared" si="13"/>
        <v>3.294892916</v>
      </c>
      <c r="AK80" s="12">
        <f t="shared" si="14"/>
        <v>0.05354200988</v>
      </c>
    </row>
    <row r="81">
      <c r="A81" s="4" t="s">
        <v>141</v>
      </c>
      <c r="B81" s="4" t="s">
        <v>132</v>
      </c>
      <c r="C81" s="4" t="s">
        <v>92</v>
      </c>
      <c r="D81" s="6">
        <v>2738.0</v>
      </c>
      <c r="E81" s="6">
        <v>651.0</v>
      </c>
      <c r="F81" s="6">
        <v>651.0</v>
      </c>
      <c r="G81" s="6">
        <v>2738.0</v>
      </c>
      <c r="H81" s="6">
        <v>56.0</v>
      </c>
      <c r="I81" s="6">
        <v>119.0</v>
      </c>
      <c r="J81" s="6">
        <v>1717.0</v>
      </c>
      <c r="K81" s="6">
        <v>121.0</v>
      </c>
      <c r="L81" s="4" t="s">
        <v>133</v>
      </c>
      <c r="M81" s="6">
        <v>179000.0</v>
      </c>
      <c r="N81" s="6">
        <v>2000.0</v>
      </c>
      <c r="O81" s="6">
        <v>1800.0</v>
      </c>
      <c r="P81" s="6">
        <v>4000.0</v>
      </c>
      <c r="Q81" s="6">
        <v>4.0</v>
      </c>
      <c r="R81" s="6">
        <v>10.0</v>
      </c>
      <c r="S81" s="7"/>
      <c r="T81" s="6">
        <v>7.0</v>
      </c>
      <c r="U81" s="6">
        <v>179.0</v>
      </c>
      <c r="V81" s="5">
        <v>8.0</v>
      </c>
      <c r="W81" s="7"/>
      <c r="X81" s="8">
        <f t="shared" si="1"/>
        <v>0.5</v>
      </c>
      <c r="Y81" s="9">
        <f t="shared" si="2"/>
        <v>6000</v>
      </c>
      <c r="Z81" s="8">
        <f t="shared" si="3"/>
        <v>3.072196621</v>
      </c>
      <c r="AA81" s="8">
        <f t="shared" si="4"/>
        <v>6.144393241</v>
      </c>
      <c r="AB81" s="8">
        <f t="shared" si="5"/>
        <v>0.01075268817</v>
      </c>
      <c r="AC81" s="8">
        <f t="shared" si="6"/>
        <v>16.80672269</v>
      </c>
      <c r="AD81" s="8">
        <f t="shared" si="7"/>
        <v>33.61344538</v>
      </c>
      <c r="AE81" s="8">
        <f t="shared" si="8"/>
        <v>0.05882352941</v>
      </c>
      <c r="AF81" s="8">
        <f t="shared" si="9"/>
        <v>35.71428571</v>
      </c>
      <c r="AG81" s="8">
        <f t="shared" si="10"/>
        <v>71.42857143</v>
      </c>
      <c r="AH81" s="8">
        <f t="shared" si="11"/>
        <v>0.125</v>
      </c>
      <c r="AI81" s="10">
        <f t="shared" si="12"/>
        <v>1.164822365</v>
      </c>
      <c r="AJ81" s="11">
        <f t="shared" si="13"/>
        <v>2.329644729</v>
      </c>
      <c r="AK81" s="12">
        <f t="shared" si="14"/>
        <v>0.004076878276</v>
      </c>
    </row>
    <row r="82">
      <c r="A82" s="4" t="s">
        <v>142</v>
      </c>
      <c r="B82" s="4" t="s">
        <v>132</v>
      </c>
      <c r="C82" s="4" t="s">
        <v>49</v>
      </c>
      <c r="D82" s="6">
        <v>2720.0</v>
      </c>
      <c r="E82" s="6">
        <v>647.0</v>
      </c>
      <c r="F82" s="6">
        <v>647.0</v>
      </c>
      <c r="G82" s="6">
        <v>2720.0</v>
      </c>
      <c r="H82" s="6">
        <v>22.0</v>
      </c>
      <c r="I82" s="6">
        <v>118.0</v>
      </c>
      <c r="J82" s="6">
        <v>1705.0</v>
      </c>
      <c r="K82" s="6">
        <v>96.0</v>
      </c>
      <c r="L82" s="4" t="s">
        <v>133</v>
      </c>
      <c r="M82" s="6">
        <v>118000.0</v>
      </c>
      <c r="N82" s="6">
        <v>2000.0</v>
      </c>
      <c r="O82" s="6">
        <v>2550.0</v>
      </c>
      <c r="P82" s="6">
        <v>2000.0</v>
      </c>
      <c r="Q82" s="6">
        <v>4.0</v>
      </c>
      <c r="R82" s="6">
        <v>8.0</v>
      </c>
      <c r="S82" s="7"/>
      <c r="T82" s="6">
        <v>9.0</v>
      </c>
      <c r="U82" s="6">
        <v>258.0</v>
      </c>
      <c r="V82" s="5">
        <v>9.0</v>
      </c>
      <c r="W82" s="7"/>
      <c r="X82" s="8">
        <f t="shared" si="1"/>
        <v>1</v>
      </c>
      <c r="Y82" s="9">
        <f t="shared" si="2"/>
        <v>4000</v>
      </c>
      <c r="Z82" s="8">
        <f t="shared" si="3"/>
        <v>3.091190108</v>
      </c>
      <c r="AA82" s="8">
        <f t="shared" si="4"/>
        <v>3.091190108</v>
      </c>
      <c r="AB82" s="8">
        <f t="shared" si="5"/>
        <v>0.01391035549</v>
      </c>
      <c r="AC82" s="8">
        <f t="shared" si="6"/>
        <v>16.94915254</v>
      </c>
      <c r="AD82" s="8">
        <f t="shared" si="7"/>
        <v>16.94915254</v>
      </c>
      <c r="AE82" s="8">
        <f t="shared" si="8"/>
        <v>0.07627118644</v>
      </c>
      <c r="AF82" s="8">
        <f t="shared" si="9"/>
        <v>90.90909091</v>
      </c>
      <c r="AG82" s="8">
        <f t="shared" si="10"/>
        <v>90.90909091</v>
      </c>
      <c r="AH82" s="8">
        <f t="shared" si="11"/>
        <v>0.4090909091</v>
      </c>
      <c r="AI82" s="10">
        <f t="shared" si="12"/>
        <v>1.173020528</v>
      </c>
      <c r="AJ82" s="11">
        <f t="shared" si="13"/>
        <v>1.173020528</v>
      </c>
      <c r="AK82" s="12">
        <f t="shared" si="14"/>
        <v>0.005278592375</v>
      </c>
    </row>
    <row r="83">
      <c r="A83" s="4" t="s">
        <v>143</v>
      </c>
      <c r="B83" s="4" t="s">
        <v>132</v>
      </c>
      <c r="C83" s="4" t="s">
        <v>70</v>
      </c>
      <c r="D83" s="6">
        <v>1488.0</v>
      </c>
      <c r="E83" s="6">
        <v>708.0</v>
      </c>
      <c r="F83" s="6">
        <v>354.0</v>
      </c>
      <c r="G83" s="6">
        <v>5952.0</v>
      </c>
      <c r="H83" s="6">
        <v>0.0</v>
      </c>
      <c r="I83" s="6">
        <v>97.0</v>
      </c>
      <c r="J83" s="6">
        <v>1867.0</v>
      </c>
      <c r="K83" s="6">
        <v>98.0</v>
      </c>
      <c r="L83" s="4" t="s">
        <v>133</v>
      </c>
      <c r="M83" s="6">
        <v>134000.0</v>
      </c>
      <c r="N83" s="6">
        <v>2200.0</v>
      </c>
      <c r="O83" s="6">
        <v>1800.0</v>
      </c>
      <c r="P83" s="6">
        <v>2000.0</v>
      </c>
      <c r="Q83" s="6">
        <v>6.0</v>
      </c>
      <c r="R83" s="6">
        <v>48.0</v>
      </c>
      <c r="S83" s="7"/>
      <c r="T83" s="6">
        <v>58.0</v>
      </c>
      <c r="U83" s="6">
        <v>199.0</v>
      </c>
      <c r="V83" s="5">
        <v>9.0</v>
      </c>
      <c r="W83" s="7"/>
      <c r="X83" s="8">
        <f t="shared" si="1"/>
        <v>1.1</v>
      </c>
      <c r="Y83" s="9">
        <f t="shared" si="2"/>
        <v>4200</v>
      </c>
      <c r="Z83" s="8">
        <f t="shared" si="3"/>
        <v>3.107344633</v>
      </c>
      <c r="AA83" s="8">
        <f t="shared" si="4"/>
        <v>2.824858757</v>
      </c>
      <c r="AB83" s="8">
        <f t="shared" si="5"/>
        <v>0.08192090395</v>
      </c>
      <c r="AC83" s="8">
        <f t="shared" si="6"/>
        <v>22.68041237</v>
      </c>
      <c r="AD83" s="8">
        <f t="shared" si="7"/>
        <v>20.6185567</v>
      </c>
      <c r="AE83" s="8">
        <f t="shared" si="8"/>
        <v>0.5979381443</v>
      </c>
      <c r="AF83" s="8" t="str">
        <f t="shared" si="9"/>
        <v>#DIV/0!</v>
      </c>
      <c r="AG83" s="8" t="str">
        <f t="shared" si="10"/>
        <v>#DIV/0!</v>
      </c>
      <c r="AH83" s="8" t="str">
        <f t="shared" si="11"/>
        <v>#DIV/0!</v>
      </c>
      <c r="AI83" s="10">
        <f t="shared" si="12"/>
        <v>1.178361007</v>
      </c>
      <c r="AJ83" s="11">
        <f t="shared" si="13"/>
        <v>1.071237279</v>
      </c>
      <c r="AK83" s="12">
        <f t="shared" si="14"/>
        <v>0.03106588109</v>
      </c>
    </row>
    <row r="84">
      <c r="A84" s="4" t="s">
        <v>144</v>
      </c>
      <c r="B84" s="4" t="s">
        <v>145</v>
      </c>
      <c r="C84" s="4" t="s">
        <v>64</v>
      </c>
      <c r="D84" s="14">
        <v>325.0</v>
      </c>
      <c r="E84" s="14">
        <v>77.0</v>
      </c>
      <c r="F84" s="14">
        <v>77.0</v>
      </c>
      <c r="G84" s="14">
        <v>325.0</v>
      </c>
      <c r="H84" s="6">
        <v>2.0</v>
      </c>
      <c r="I84" s="6">
        <v>11.0</v>
      </c>
      <c r="J84" s="14">
        <v>191.0</v>
      </c>
      <c r="K84" s="6">
        <v>158.0</v>
      </c>
      <c r="L84" s="4" t="s">
        <v>97</v>
      </c>
      <c r="M84" s="6">
        <v>740.0</v>
      </c>
      <c r="N84" s="14">
        <v>400.0</v>
      </c>
      <c r="O84" s="6">
        <v>770.0</v>
      </c>
      <c r="P84" s="6">
        <v>101.0</v>
      </c>
      <c r="Q84" s="6">
        <v>3.0</v>
      </c>
      <c r="R84" s="6">
        <v>4.0</v>
      </c>
      <c r="S84" s="7"/>
      <c r="T84" s="6">
        <v>2.0</v>
      </c>
      <c r="U84" s="6">
        <v>899.0</v>
      </c>
      <c r="V84" s="7"/>
      <c r="W84" s="7"/>
      <c r="X84" s="8">
        <f t="shared" si="1"/>
        <v>3.96039604</v>
      </c>
      <c r="Y84" s="9">
        <f t="shared" si="2"/>
        <v>501</v>
      </c>
      <c r="Z84" s="8">
        <f t="shared" si="3"/>
        <v>5.194805195</v>
      </c>
      <c r="AA84" s="8">
        <f t="shared" si="4"/>
        <v>1.311688312</v>
      </c>
      <c r="AB84" s="8">
        <f t="shared" si="5"/>
        <v>0.02597402597</v>
      </c>
      <c r="AC84" s="8">
        <f t="shared" si="6"/>
        <v>36.36363636</v>
      </c>
      <c r="AD84" s="8">
        <f t="shared" si="7"/>
        <v>9.181818182</v>
      </c>
      <c r="AE84" s="8">
        <f t="shared" si="8"/>
        <v>0.1818181818</v>
      </c>
      <c r="AF84" s="8">
        <f t="shared" si="9"/>
        <v>200</v>
      </c>
      <c r="AG84" s="8">
        <f t="shared" si="10"/>
        <v>50.5</v>
      </c>
      <c r="AH84" s="8">
        <f t="shared" si="11"/>
        <v>1</v>
      </c>
      <c r="AI84" s="10">
        <f t="shared" si="12"/>
        <v>2.094240838</v>
      </c>
      <c r="AJ84" s="11">
        <f t="shared" si="13"/>
        <v>0.5287958115</v>
      </c>
      <c r="AK84" s="12">
        <f t="shared" si="14"/>
        <v>0.01047120419</v>
      </c>
    </row>
    <row r="85">
      <c r="A85" s="4" t="s">
        <v>146</v>
      </c>
      <c r="B85" s="4" t="s">
        <v>145</v>
      </c>
      <c r="C85" s="4" t="s">
        <v>64</v>
      </c>
      <c r="D85" s="14">
        <v>431.0</v>
      </c>
      <c r="E85" s="14">
        <v>102.0</v>
      </c>
      <c r="F85" s="14">
        <v>102.0</v>
      </c>
      <c r="G85" s="14">
        <v>431.0</v>
      </c>
      <c r="H85" s="6">
        <v>2.0</v>
      </c>
      <c r="I85" s="6">
        <v>15.0</v>
      </c>
      <c r="J85" s="14">
        <v>255.0</v>
      </c>
      <c r="K85" s="6">
        <v>158.0</v>
      </c>
      <c r="L85" s="4" t="s">
        <v>97</v>
      </c>
      <c r="M85" s="6">
        <v>740.0</v>
      </c>
      <c r="N85" s="14">
        <v>400.0</v>
      </c>
      <c r="O85" s="6">
        <v>1155.0</v>
      </c>
      <c r="P85" s="6">
        <v>101.0</v>
      </c>
      <c r="Q85" s="6">
        <v>3.0</v>
      </c>
      <c r="R85" s="6">
        <v>4.0</v>
      </c>
      <c r="S85" s="7"/>
      <c r="T85" s="6">
        <v>2.0</v>
      </c>
      <c r="U85" s="6">
        <v>899.0</v>
      </c>
      <c r="V85" s="7"/>
      <c r="W85" s="7"/>
      <c r="X85" s="8">
        <f t="shared" si="1"/>
        <v>3.96039604</v>
      </c>
      <c r="Y85" s="9">
        <f t="shared" si="2"/>
        <v>501</v>
      </c>
      <c r="Z85" s="8">
        <f t="shared" si="3"/>
        <v>3.921568627</v>
      </c>
      <c r="AA85" s="8">
        <f t="shared" si="4"/>
        <v>0.9901960784</v>
      </c>
      <c r="AB85" s="8">
        <f t="shared" si="5"/>
        <v>0.01960784314</v>
      </c>
      <c r="AC85" s="8">
        <f t="shared" si="6"/>
        <v>26.66666667</v>
      </c>
      <c r="AD85" s="8">
        <f t="shared" si="7"/>
        <v>6.733333333</v>
      </c>
      <c r="AE85" s="8">
        <f t="shared" si="8"/>
        <v>0.1333333333</v>
      </c>
      <c r="AF85" s="8">
        <f t="shared" si="9"/>
        <v>200</v>
      </c>
      <c r="AG85" s="8">
        <f t="shared" si="10"/>
        <v>50.5</v>
      </c>
      <c r="AH85" s="8">
        <f t="shared" si="11"/>
        <v>1</v>
      </c>
      <c r="AI85" s="10">
        <f t="shared" si="12"/>
        <v>1.568627451</v>
      </c>
      <c r="AJ85" s="11">
        <f t="shared" si="13"/>
        <v>0.3960784314</v>
      </c>
      <c r="AK85" s="12">
        <f t="shared" si="14"/>
        <v>0.007843137255</v>
      </c>
    </row>
    <row r="86">
      <c r="A86" s="4" t="s">
        <v>147</v>
      </c>
      <c r="B86" s="4" t="s">
        <v>145</v>
      </c>
      <c r="C86" s="4" t="s">
        <v>49</v>
      </c>
      <c r="D86" s="14">
        <v>500.0</v>
      </c>
      <c r="E86" s="14">
        <v>118.0</v>
      </c>
      <c r="F86" s="14">
        <v>118.0</v>
      </c>
      <c r="G86" s="14">
        <v>500.0</v>
      </c>
      <c r="H86" s="6">
        <v>2.0</v>
      </c>
      <c r="I86" s="6">
        <v>18.0</v>
      </c>
      <c r="J86" s="14">
        <v>294.0</v>
      </c>
      <c r="K86" s="6">
        <v>226.0</v>
      </c>
      <c r="L86" s="4" t="s">
        <v>97</v>
      </c>
      <c r="M86" s="6">
        <v>1060.0</v>
      </c>
      <c r="N86" s="14">
        <v>400.0</v>
      </c>
      <c r="O86" s="6">
        <v>1050.0</v>
      </c>
      <c r="P86" s="6">
        <v>121.0</v>
      </c>
      <c r="Q86" s="6">
        <v>3.0</v>
      </c>
      <c r="R86" s="6">
        <v>4.0</v>
      </c>
      <c r="S86" s="7"/>
      <c r="T86" s="6">
        <v>2.0</v>
      </c>
      <c r="U86" s="6">
        <v>899.0</v>
      </c>
      <c r="V86" s="7"/>
      <c r="W86" s="7"/>
      <c r="X86" s="8">
        <f t="shared" si="1"/>
        <v>3.305785124</v>
      </c>
      <c r="Y86" s="9">
        <f t="shared" si="2"/>
        <v>521</v>
      </c>
      <c r="Z86" s="8">
        <f t="shared" si="3"/>
        <v>3.389830508</v>
      </c>
      <c r="AA86" s="8">
        <f t="shared" si="4"/>
        <v>1.025423729</v>
      </c>
      <c r="AB86" s="8">
        <f t="shared" si="5"/>
        <v>0.01694915254</v>
      </c>
      <c r="AC86" s="8">
        <f t="shared" si="6"/>
        <v>22.22222222</v>
      </c>
      <c r="AD86" s="8">
        <f t="shared" si="7"/>
        <v>6.722222222</v>
      </c>
      <c r="AE86" s="8">
        <f t="shared" si="8"/>
        <v>0.1111111111</v>
      </c>
      <c r="AF86" s="8">
        <f t="shared" si="9"/>
        <v>200</v>
      </c>
      <c r="AG86" s="8">
        <f t="shared" si="10"/>
        <v>60.5</v>
      </c>
      <c r="AH86" s="8">
        <f t="shared" si="11"/>
        <v>1</v>
      </c>
      <c r="AI86" s="10">
        <f t="shared" si="12"/>
        <v>1.360544218</v>
      </c>
      <c r="AJ86" s="11">
        <f t="shared" si="13"/>
        <v>0.4115646259</v>
      </c>
      <c r="AK86" s="12">
        <f t="shared" si="14"/>
        <v>0.006802721088</v>
      </c>
    </row>
    <row r="87">
      <c r="A87" s="4" t="s">
        <v>148</v>
      </c>
      <c r="B87" s="4" t="s">
        <v>145</v>
      </c>
      <c r="C87" s="4" t="s">
        <v>49</v>
      </c>
      <c r="D87" s="14">
        <v>701.0</v>
      </c>
      <c r="E87" s="14">
        <v>166.0</v>
      </c>
      <c r="F87" s="14">
        <v>166.0</v>
      </c>
      <c r="G87" s="14">
        <v>701.0</v>
      </c>
      <c r="H87" s="6">
        <v>2.0</v>
      </c>
      <c r="I87" s="6">
        <v>25.0</v>
      </c>
      <c r="J87" s="14">
        <v>413.0</v>
      </c>
      <c r="K87" s="6">
        <v>248.0</v>
      </c>
      <c r="L87" s="4" t="s">
        <v>97</v>
      </c>
      <c r="M87" s="6">
        <v>760.0</v>
      </c>
      <c r="N87" s="14">
        <v>400.0</v>
      </c>
      <c r="O87" s="6">
        <v>1050.0</v>
      </c>
      <c r="P87" s="6">
        <v>121.0</v>
      </c>
      <c r="Q87" s="6">
        <v>3.0</v>
      </c>
      <c r="R87" s="6">
        <v>4.0</v>
      </c>
      <c r="S87" s="7"/>
      <c r="T87" s="6">
        <v>2.0</v>
      </c>
      <c r="U87" s="6">
        <v>1079.0</v>
      </c>
      <c r="V87" s="7"/>
      <c r="W87" s="7"/>
      <c r="X87" s="8">
        <f t="shared" si="1"/>
        <v>3.305785124</v>
      </c>
      <c r="Y87" s="9">
        <f t="shared" si="2"/>
        <v>521</v>
      </c>
      <c r="Z87" s="8">
        <f t="shared" si="3"/>
        <v>2.409638554</v>
      </c>
      <c r="AA87" s="8">
        <f t="shared" si="4"/>
        <v>0.7289156627</v>
      </c>
      <c r="AB87" s="8">
        <f t="shared" si="5"/>
        <v>0.01204819277</v>
      </c>
      <c r="AC87" s="8">
        <f t="shared" si="6"/>
        <v>16</v>
      </c>
      <c r="AD87" s="8">
        <f t="shared" si="7"/>
        <v>4.84</v>
      </c>
      <c r="AE87" s="8">
        <f t="shared" si="8"/>
        <v>0.08</v>
      </c>
      <c r="AF87" s="8">
        <f t="shared" si="9"/>
        <v>200</v>
      </c>
      <c r="AG87" s="8">
        <f t="shared" si="10"/>
        <v>60.5</v>
      </c>
      <c r="AH87" s="8">
        <f t="shared" si="11"/>
        <v>1</v>
      </c>
      <c r="AI87" s="10">
        <f t="shared" si="12"/>
        <v>0.9685230024</v>
      </c>
      <c r="AJ87" s="11">
        <f t="shared" si="13"/>
        <v>0.2929782082</v>
      </c>
      <c r="AK87" s="12">
        <f t="shared" si="14"/>
        <v>0.004842615012</v>
      </c>
    </row>
    <row r="88">
      <c r="A88" s="4" t="s">
        <v>149</v>
      </c>
      <c r="B88" s="4" t="s">
        <v>145</v>
      </c>
      <c r="C88" s="4" t="s">
        <v>73</v>
      </c>
      <c r="D88" s="14">
        <v>237.0</v>
      </c>
      <c r="E88" s="14">
        <v>55.0</v>
      </c>
      <c r="F88" s="14">
        <v>55.0</v>
      </c>
      <c r="G88" s="14">
        <v>237.0</v>
      </c>
      <c r="H88" s="6">
        <v>2.0</v>
      </c>
      <c r="I88" s="6">
        <v>8.0</v>
      </c>
      <c r="J88" s="14">
        <v>103.0</v>
      </c>
      <c r="K88" s="6">
        <v>199.0</v>
      </c>
      <c r="L88" s="4" t="s">
        <v>97</v>
      </c>
      <c r="M88" s="6">
        <v>540.0</v>
      </c>
      <c r="N88" s="14">
        <v>200.0</v>
      </c>
      <c r="O88" s="6">
        <v>820.0</v>
      </c>
      <c r="P88" s="6">
        <v>80.0</v>
      </c>
      <c r="Q88" s="6">
        <v>3.0</v>
      </c>
      <c r="R88" s="6">
        <v>3.0</v>
      </c>
      <c r="S88" s="7"/>
      <c r="T88" s="13">
        <v>0.772</v>
      </c>
      <c r="U88" s="6">
        <v>1012.0</v>
      </c>
      <c r="V88" s="7"/>
      <c r="W88" s="7"/>
      <c r="X88" s="8">
        <f t="shared" si="1"/>
        <v>2.5</v>
      </c>
      <c r="Y88" s="9">
        <f t="shared" si="2"/>
        <v>280</v>
      </c>
      <c r="Z88" s="8">
        <f t="shared" si="3"/>
        <v>3.636363636</v>
      </c>
      <c r="AA88" s="8">
        <f t="shared" si="4"/>
        <v>1.454545455</v>
      </c>
      <c r="AB88" s="8">
        <f t="shared" si="5"/>
        <v>0.01403636364</v>
      </c>
      <c r="AC88" s="8">
        <f t="shared" si="6"/>
        <v>25</v>
      </c>
      <c r="AD88" s="8">
        <f t="shared" si="7"/>
        <v>10</v>
      </c>
      <c r="AE88" s="8">
        <f t="shared" si="8"/>
        <v>0.0965</v>
      </c>
      <c r="AF88" s="8">
        <f t="shared" si="9"/>
        <v>100</v>
      </c>
      <c r="AG88" s="8">
        <f t="shared" si="10"/>
        <v>40</v>
      </c>
      <c r="AH88" s="8">
        <f t="shared" si="11"/>
        <v>0.386</v>
      </c>
      <c r="AI88" s="10">
        <f t="shared" si="12"/>
        <v>1.941747573</v>
      </c>
      <c r="AJ88" s="11">
        <f t="shared" si="13"/>
        <v>0.7766990291</v>
      </c>
      <c r="AK88" s="12">
        <f t="shared" si="14"/>
        <v>0.007495145631</v>
      </c>
    </row>
    <row r="89">
      <c r="A89" s="4" t="s">
        <v>150</v>
      </c>
      <c r="B89" s="4" t="s">
        <v>145</v>
      </c>
      <c r="C89" s="4" t="s">
        <v>73</v>
      </c>
      <c r="D89" s="14">
        <v>395.0</v>
      </c>
      <c r="E89" s="14">
        <v>69.0</v>
      </c>
      <c r="F89" s="14">
        <v>69.0</v>
      </c>
      <c r="G89" s="14">
        <v>395.0</v>
      </c>
      <c r="H89" s="6">
        <v>2.0</v>
      </c>
      <c r="I89" s="6">
        <v>10.0</v>
      </c>
      <c r="J89" s="14">
        <v>129.0</v>
      </c>
      <c r="K89" s="6">
        <v>199.0</v>
      </c>
      <c r="L89" s="4" t="s">
        <v>97</v>
      </c>
      <c r="M89" s="6">
        <v>718.0</v>
      </c>
      <c r="N89" s="14">
        <v>200.0</v>
      </c>
      <c r="O89" s="6">
        <v>820.0</v>
      </c>
      <c r="P89" s="6">
        <v>80.0</v>
      </c>
      <c r="Q89" s="6">
        <v>3.0</v>
      </c>
      <c r="R89" s="6">
        <v>3.0</v>
      </c>
      <c r="S89" s="7"/>
      <c r="T89" s="13">
        <v>0.772</v>
      </c>
      <c r="U89" s="6">
        <v>1012.0</v>
      </c>
      <c r="V89" s="7"/>
      <c r="W89" s="7"/>
      <c r="X89" s="8">
        <f t="shared" si="1"/>
        <v>2.5</v>
      </c>
      <c r="Y89" s="9">
        <f t="shared" si="2"/>
        <v>280</v>
      </c>
      <c r="Z89" s="8">
        <f t="shared" si="3"/>
        <v>2.898550725</v>
      </c>
      <c r="AA89" s="8">
        <f t="shared" si="4"/>
        <v>1.15942029</v>
      </c>
      <c r="AB89" s="8">
        <f t="shared" si="5"/>
        <v>0.0111884058</v>
      </c>
      <c r="AC89" s="8">
        <f t="shared" si="6"/>
        <v>20</v>
      </c>
      <c r="AD89" s="8">
        <f t="shared" si="7"/>
        <v>8</v>
      </c>
      <c r="AE89" s="8">
        <f t="shared" si="8"/>
        <v>0.0772</v>
      </c>
      <c r="AF89" s="8">
        <f t="shared" si="9"/>
        <v>100</v>
      </c>
      <c r="AG89" s="8">
        <f t="shared" si="10"/>
        <v>40</v>
      </c>
      <c r="AH89" s="8">
        <f t="shared" si="11"/>
        <v>0.386</v>
      </c>
      <c r="AI89" s="10">
        <f t="shared" si="12"/>
        <v>1.550387597</v>
      </c>
      <c r="AJ89" s="11">
        <f t="shared" si="13"/>
        <v>0.6201550388</v>
      </c>
      <c r="AK89" s="12">
        <f t="shared" si="14"/>
        <v>0.005984496124</v>
      </c>
    </row>
    <row r="90">
      <c r="A90" s="4" t="s">
        <v>151</v>
      </c>
      <c r="B90" s="4" t="s">
        <v>145</v>
      </c>
      <c r="C90" s="4" t="s">
        <v>60</v>
      </c>
      <c r="D90" s="14">
        <v>334.0</v>
      </c>
      <c r="E90" s="14">
        <v>79.0</v>
      </c>
      <c r="F90" s="14">
        <v>79.0</v>
      </c>
      <c r="G90" s="14">
        <v>334.0</v>
      </c>
      <c r="H90" s="6">
        <v>1.0</v>
      </c>
      <c r="I90" s="6">
        <v>11.0</v>
      </c>
      <c r="J90" s="14">
        <v>191.0</v>
      </c>
      <c r="K90" s="6">
        <v>162.0</v>
      </c>
      <c r="L90" s="4" t="s">
        <v>97</v>
      </c>
      <c r="M90" s="6">
        <v>940.0</v>
      </c>
      <c r="N90" s="14">
        <v>200.0</v>
      </c>
      <c r="O90" s="6">
        <v>400.0</v>
      </c>
      <c r="P90" s="6">
        <v>111.0</v>
      </c>
      <c r="Q90" s="6">
        <v>3.0</v>
      </c>
      <c r="R90" s="6">
        <v>3.0</v>
      </c>
      <c r="S90" s="7"/>
      <c r="T90" s="6">
        <v>1.0</v>
      </c>
      <c r="U90" s="6">
        <v>1237.0</v>
      </c>
      <c r="V90" s="7"/>
      <c r="W90" s="7"/>
      <c r="X90" s="8">
        <f t="shared" si="1"/>
        <v>1.801801802</v>
      </c>
      <c r="Y90" s="9">
        <f t="shared" si="2"/>
        <v>311</v>
      </c>
      <c r="Z90" s="8">
        <f t="shared" si="3"/>
        <v>2.53164557</v>
      </c>
      <c r="AA90" s="8">
        <f t="shared" si="4"/>
        <v>1.405063291</v>
      </c>
      <c r="AB90" s="8">
        <f t="shared" si="5"/>
        <v>0.01265822785</v>
      </c>
      <c r="AC90" s="8">
        <f t="shared" si="6"/>
        <v>18.18181818</v>
      </c>
      <c r="AD90" s="8">
        <f t="shared" si="7"/>
        <v>10.09090909</v>
      </c>
      <c r="AE90" s="8">
        <f t="shared" si="8"/>
        <v>0.09090909091</v>
      </c>
      <c r="AF90" s="8">
        <f t="shared" si="9"/>
        <v>200</v>
      </c>
      <c r="AG90" s="8">
        <f t="shared" si="10"/>
        <v>111</v>
      </c>
      <c r="AH90" s="8">
        <f t="shared" si="11"/>
        <v>1</v>
      </c>
      <c r="AI90" s="10">
        <f t="shared" si="12"/>
        <v>1.047120419</v>
      </c>
      <c r="AJ90" s="11">
        <f t="shared" si="13"/>
        <v>0.5811518325</v>
      </c>
      <c r="AK90" s="12">
        <f t="shared" si="14"/>
        <v>0.005235602094</v>
      </c>
    </row>
    <row r="91">
      <c r="A91" s="4" t="s">
        <v>152</v>
      </c>
      <c r="B91" s="4" t="s">
        <v>145</v>
      </c>
      <c r="C91" s="4" t="s">
        <v>60</v>
      </c>
      <c r="D91" s="14">
        <v>467.0</v>
      </c>
      <c r="E91" s="14">
        <v>110.0</v>
      </c>
      <c r="F91" s="14">
        <v>110.0</v>
      </c>
      <c r="G91" s="14">
        <v>467.0</v>
      </c>
      <c r="H91" s="6">
        <v>1.0</v>
      </c>
      <c r="I91" s="6">
        <v>16.0</v>
      </c>
      <c r="J91" s="14">
        <v>268.0</v>
      </c>
      <c r="K91" s="6">
        <v>178.0</v>
      </c>
      <c r="L91" s="4" t="s">
        <v>97</v>
      </c>
      <c r="M91" s="6">
        <v>740.0</v>
      </c>
      <c r="N91" s="14">
        <v>200.0</v>
      </c>
      <c r="O91" s="6">
        <v>400.0</v>
      </c>
      <c r="P91" s="6">
        <v>111.0</v>
      </c>
      <c r="Q91" s="6">
        <v>3.0</v>
      </c>
      <c r="R91" s="6">
        <v>3.0</v>
      </c>
      <c r="S91" s="7"/>
      <c r="T91" s="6">
        <v>1.0</v>
      </c>
      <c r="U91" s="6">
        <v>1484.0</v>
      </c>
      <c r="V91" s="7"/>
      <c r="W91" s="7"/>
      <c r="X91" s="8">
        <f t="shared" si="1"/>
        <v>1.801801802</v>
      </c>
      <c r="Y91" s="9">
        <f t="shared" si="2"/>
        <v>311</v>
      </c>
      <c r="Z91" s="8">
        <f t="shared" si="3"/>
        <v>1.818181818</v>
      </c>
      <c r="AA91" s="8">
        <f t="shared" si="4"/>
        <v>1.009090909</v>
      </c>
      <c r="AB91" s="8">
        <f t="shared" si="5"/>
        <v>0.009090909091</v>
      </c>
      <c r="AC91" s="8">
        <f t="shared" si="6"/>
        <v>12.5</v>
      </c>
      <c r="AD91" s="8">
        <f t="shared" si="7"/>
        <v>6.9375</v>
      </c>
      <c r="AE91" s="8">
        <f t="shared" si="8"/>
        <v>0.0625</v>
      </c>
      <c r="AF91" s="8">
        <f t="shared" si="9"/>
        <v>200</v>
      </c>
      <c r="AG91" s="8">
        <f t="shared" si="10"/>
        <v>111</v>
      </c>
      <c r="AH91" s="8">
        <f t="shared" si="11"/>
        <v>1</v>
      </c>
      <c r="AI91" s="10">
        <f t="shared" si="12"/>
        <v>0.7462686567</v>
      </c>
      <c r="AJ91" s="11">
        <f t="shared" si="13"/>
        <v>0.4141791045</v>
      </c>
      <c r="AK91" s="12">
        <f t="shared" si="14"/>
        <v>0.003731343284</v>
      </c>
    </row>
    <row r="92">
      <c r="A92" s="4" t="s">
        <v>153</v>
      </c>
      <c r="B92" s="4" t="s">
        <v>145</v>
      </c>
      <c r="C92" s="4" t="s">
        <v>91</v>
      </c>
      <c r="D92" s="14">
        <v>130.0</v>
      </c>
      <c r="E92" s="14">
        <v>30.0</v>
      </c>
      <c r="F92" s="14">
        <v>30.0</v>
      </c>
      <c r="G92" s="14">
        <v>130.0</v>
      </c>
      <c r="H92" s="6">
        <v>2.0</v>
      </c>
      <c r="I92" s="6">
        <v>4.0</v>
      </c>
      <c r="J92" s="14">
        <v>76.0</v>
      </c>
      <c r="K92" s="6">
        <v>210.0</v>
      </c>
      <c r="L92" s="4" t="s">
        <v>97</v>
      </c>
      <c r="M92" s="6">
        <v>600.0</v>
      </c>
      <c r="N92" s="14">
        <v>50.0</v>
      </c>
      <c r="O92" s="6">
        <v>410.0</v>
      </c>
      <c r="P92" s="6">
        <v>90.0</v>
      </c>
      <c r="Q92" s="6">
        <v>3.0</v>
      </c>
      <c r="R92" s="6">
        <v>3.0</v>
      </c>
      <c r="S92" s="7"/>
      <c r="T92" s="13">
        <v>0.765</v>
      </c>
      <c r="U92" s="6">
        <v>787.0</v>
      </c>
      <c r="V92" s="7"/>
      <c r="W92" s="7"/>
      <c r="X92" s="8">
        <f t="shared" si="1"/>
        <v>0.5555555556</v>
      </c>
      <c r="Y92" s="9">
        <f t="shared" si="2"/>
        <v>140</v>
      </c>
      <c r="Z92" s="8">
        <f t="shared" si="3"/>
        <v>1.666666667</v>
      </c>
      <c r="AA92" s="8">
        <f t="shared" si="4"/>
        <v>3</v>
      </c>
      <c r="AB92" s="8">
        <f t="shared" si="5"/>
        <v>0.0255</v>
      </c>
      <c r="AC92" s="8">
        <f t="shared" si="6"/>
        <v>12.5</v>
      </c>
      <c r="AD92" s="8">
        <f t="shared" si="7"/>
        <v>22.5</v>
      </c>
      <c r="AE92" s="8">
        <f t="shared" si="8"/>
        <v>0.19125</v>
      </c>
      <c r="AF92" s="8">
        <f t="shared" si="9"/>
        <v>25</v>
      </c>
      <c r="AG92" s="8">
        <f t="shared" si="10"/>
        <v>45</v>
      </c>
      <c r="AH92" s="8">
        <f t="shared" si="11"/>
        <v>0.3825</v>
      </c>
      <c r="AI92" s="10">
        <f t="shared" si="12"/>
        <v>0.6578947368</v>
      </c>
      <c r="AJ92" s="11">
        <f t="shared" si="13"/>
        <v>1.184210526</v>
      </c>
      <c r="AK92" s="12">
        <f t="shared" si="14"/>
        <v>0.01006578947</v>
      </c>
    </row>
    <row r="93">
      <c r="A93" s="4" t="s">
        <v>154</v>
      </c>
      <c r="B93" s="4" t="s">
        <v>145</v>
      </c>
      <c r="C93" s="4" t="s">
        <v>91</v>
      </c>
      <c r="D93" s="14">
        <v>163.0</v>
      </c>
      <c r="E93" s="14">
        <v>38.0</v>
      </c>
      <c r="F93" s="14">
        <v>38.0</v>
      </c>
      <c r="G93" s="14">
        <v>163.0</v>
      </c>
      <c r="H93" s="6">
        <v>2.0</v>
      </c>
      <c r="I93" s="6">
        <v>6.0</v>
      </c>
      <c r="J93" s="14">
        <v>97.0</v>
      </c>
      <c r="K93" s="6">
        <v>210.0</v>
      </c>
      <c r="L93" s="4" t="s">
        <v>97</v>
      </c>
      <c r="M93" s="6">
        <v>798.0</v>
      </c>
      <c r="N93" s="14">
        <v>50.0</v>
      </c>
      <c r="O93" s="6">
        <v>410.0</v>
      </c>
      <c r="P93" s="6">
        <v>90.0</v>
      </c>
      <c r="Q93" s="6">
        <v>3.0</v>
      </c>
      <c r="R93" s="6">
        <v>3.0</v>
      </c>
      <c r="S93" s="7"/>
      <c r="T93" s="13">
        <v>0.765</v>
      </c>
      <c r="U93" s="6">
        <v>787.0</v>
      </c>
      <c r="V93" s="7"/>
      <c r="W93" s="7"/>
      <c r="X93" s="8">
        <f t="shared" si="1"/>
        <v>0.5555555556</v>
      </c>
      <c r="Y93" s="9">
        <f t="shared" si="2"/>
        <v>140</v>
      </c>
      <c r="Z93" s="8">
        <f t="shared" si="3"/>
        <v>1.315789474</v>
      </c>
      <c r="AA93" s="8">
        <f t="shared" si="4"/>
        <v>2.368421053</v>
      </c>
      <c r="AB93" s="8">
        <f t="shared" si="5"/>
        <v>0.02013157895</v>
      </c>
      <c r="AC93" s="8">
        <f t="shared" si="6"/>
        <v>8.333333333</v>
      </c>
      <c r="AD93" s="8">
        <f t="shared" si="7"/>
        <v>15</v>
      </c>
      <c r="AE93" s="8">
        <f t="shared" si="8"/>
        <v>0.1275</v>
      </c>
      <c r="AF93" s="8">
        <f t="shared" si="9"/>
        <v>25</v>
      </c>
      <c r="AG93" s="8">
        <f t="shared" si="10"/>
        <v>45</v>
      </c>
      <c r="AH93" s="8">
        <f t="shared" si="11"/>
        <v>0.3825</v>
      </c>
      <c r="AI93" s="10">
        <f t="shared" si="12"/>
        <v>0.5154639175</v>
      </c>
      <c r="AJ93" s="11">
        <f t="shared" si="13"/>
        <v>0.9278350515</v>
      </c>
      <c r="AK93" s="12">
        <f t="shared" si="14"/>
        <v>0.007886597938</v>
      </c>
    </row>
    <row r="94">
      <c r="A94" s="4" t="s">
        <v>155</v>
      </c>
      <c r="B94" s="4" t="s">
        <v>145</v>
      </c>
      <c r="C94" s="4" t="s">
        <v>82</v>
      </c>
      <c r="D94" s="6">
        <v>807.0</v>
      </c>
      <c r="E94" s="14">
        <v>191.0</v>
      </c>
      <c r="F94" s="14">
        <v>191.0</v>
      </c>
      <c r="G94" s="6">
        <v>807.0</v>
      </c>
      <c r="H94" s="6">
        <v>0.0</v>
      </c>
      <c r="I94" s="6">
        <v>35.0</v>
      </c>
      <c r="J94" s="14">
        <v>475.0</v>
      </c>
      <c r="K94" s="6">
        <v>182.0</v>
      </c>
      <c r="L94" s="4" t="s">
        <v>97</v>
      </c>
      <c r="M94" s="6">
        <v>4100.0</v>
      </c>
      <c r="N94" s="14">
        <v>800.0</v>
      </c>
      <c r="O94" s="6">
        <v>1480.0</v>
      </c>
      <c r="P94" s="6">
        <v>228.0</v>
      </c>
      <c r="Q94" s="6">
        <v>3.0</v>
      </c>
      <c r="R94" s="6">
        <v>10.0</v>
      </c>
      <c r="S94" s="7"/>
      <c r="T94" s="6">
        <v>10.0</v>
      </c>
      <c r="U94" s="6">
        <v>899.0</v>
      </c>
      <c r="V94" s="7"/>
      <c r="W94" s="7"/>
      <c r="X94" s="8">
        <f t="shared" si="1"/>
        <v>3.50877193</v>
      </c>
      <c r="Y94" s="9">
        <f t="shared" si="2"/>
        <v>1028</v>
      </c>
      <c r="Z94" s="8">
        <f t="shared" si="3"/>
        <v>4.188481675</v>
      </c>
      <c r="AA94" s="8">
        <f t="shared" si="4"/>
        <v>1.193717277</v>
      </c>
      <c r="AB94" s="8">
        <f t="shared" si="5"/>
        <v>0.05235602094</v>
      </c>
      <c r="AC94" s="8">
        <f t="shared" si="6"/>
        <v>22.85714286</v>
      </c>
      <c r="AD94" s="8">
        <f t="shared" si="7"/>
        <v>6.514285714</v>
      </c>
      <c r="AE94" s="8">
        <f t="shared" si="8"/>
        <v>0.2857142857</v>
      </c>
      <c r="AF94" s="8" t="str">
        <f t="shared" si="9"/>
        <v>#DIV/0!</v>
      </c>
      <c r="AG94" s="8" t="str">
        <f t="shared" si="10"/>
        <v>#DIV/0!</v>
      </c>
      <c r="AH94" s="8" t="str">
        <f t="shared" si="11"/>
        <v>#DIV/0!</v>
      </c>
      <c r="AI94" s="10">
        <f t="shared" si="12"/>
        <v>1.684210526</v>
      </c>
      <c r="AJ94" s="11">
        <f t="shared" si="13"/>
        <v>0.48</v>
      </c>
      <c r="AK94" s="12">
        <f t="shared" si="14"/>
        <v>0.02105263158</v>
      </c>
    </row>
    <row r="95">
      <c r="A95" s="4" t="s">
        <v>156</v>
      </c>
      <c r="B95" s="4" t="s">
        <v>145</v>
      </c>
      <c r="C95" s="4" t="s">
        <v>56</v>
      </c>
      <c r="D95" s="14">
        <v>297.0</v>
      </c>
      <c r="E95" s="14">
        <v>69.0</v>
      </c>
      <c r="F95" s="14">
        <v>69.0</v>
      </c>
      <c r="G95" s="14">
        <v>297.0</v>
      </c>
      <c r="H95" s="6">
        <v>2.0</v>
      </c>
      <c r="I95" s="6">
        <v>11.0</v>
      </c>
      <c r="J95" s="14">
        <v>180.0</v>
      </c>
      <c r="K95" s="6">
        <v>275.0</v>
      </c>
      <c r="L95" s="4" t="s">
        <v>97</v>
      </c>
      <c r="M95" s="6">
        <v>700.0</v>
      </c>
      <c r="N95" s="14">
        <v>200.0</v>
      </c>
      <c r="O95" s="6">
        <v>600.0</v>
      </c>
      <c r="P95" s="6">
        <v>101.0</v>
      </c>
      <c r="Q95" s="6">
        <v>3.0</v>
      </c>
      <c r="R95" s="6">
        <v>3.0</v>
      </c>
      <c r="S95" s="7"/>
      <c r="T95" s="6">
        <v>1.0</v>
      </c>
      <c r="U95" s="6">
        <v>899.0</v>
      </c>
      <c r="V95" s="7"/>
      <c r="W95" s="7"/>
      <c r="X95" s="8">
        <f t="shared" si="1"/>
        <v>1.98019802</v>
      </c>
      <c r="Y95" s="9">
        <f t="shared" si="2"/>
        <v>301</v>
      </c>
      <c r="Z95" s="8">
        <f t="shared" si="3"/>
        <v>2.898550725</v>
      </c>
      <c r="AA95" s="8">
        <f t="shared" si="4"/>
        <v>1.463768116</v>
      </c>
      <c r="AB95" s="8">
        <f t="shared" si="5"/>
        <v>0.01449275362</v>
      </c>
      <c r="AC95" s="8">
        <f t="shared" si="6"/>
        <v>18.18181818</v>
      </c>
      <c r="AD95" s="8">
        <f t="shared" si="7"/>
        <v>9.181818182</v>
      </c>
      <c r="AE95" s="8">
        <f t="shared" si="8"/>
        <v>0.09090909091</v>
      </c>
      <c r="AF95" s="8">
        <f t="shared" si="9"/>
        <v>100</v>
      </c>
      <c r="AG95" s="8">
        <f t="shared" si="10"/>
        <v>50.5</v>
      </c>
      <c r="AH95" s="8">
        <f t="shared" si="11"/>
        <v>0.5</v>
      </c>
      <c r="AI95" s="10">
        <f t="shared" si="12"/>
        <v>1.111111111</v>
      </c>
      <c r="AJ95" s="11">
        <f t="shared" si="13"/>
        <v>0.5611111111</v>
      </c>
      <c r="AK95" s="12">
        <f t="shared" si="14"/>
        <v>0.005555555556</v>
      </c>
    </row>
    <row r="96">
      <c r="A96" s="4" t="s">
        <v>157</v>
      </c>
      <c r="B96" s="4" t="s">
        <v>145</v>
      </c>
      <c r="C96" s="4" t="s">
        <v>56</v>
      </c>
      <c r="D96" s="14">
        <v>395.0</v>
      </c>
      <c r="E96" s="14">
        <v>93.0</v>
      </c>
      <c r="F96" s="14">
        <v>93.0</v>
      </c>
      <c r="G96" s="14">
        <v>395.0</v>
      </c>
      <c r="H96" s="6">
        <v>2.0</v>
      </c>
      <c r="I96" s="6">
        <v>14.0</v>
      </c>
      <c r="J96" s="14">
        <v>240.0</v>
      </c>
      <c r="K96" s="6">
        <v>275.0</v>
      </c>
      <c r="L96" s="4" t="s">
        <v>97</v>
      </c>
      <c r="M96" s="6">
        <v>700.0</v>
      </c>
      <c r="N96" s="14">
        <v>200.0</v>
      </c>
      <c r="O96" s="6">
        <v>900.0</v>
      </c>
      <c r="P96" s="6">
        <v>101.0</v>
      </c>
      <c r="Q96" s="6">
        <v>3.0</v>
      </c>
      <c r="R96" s="6">
        <v>3.0</v>
      </c>
      <c r="S96" s="7"/>
      <c r="T96" s="6">
        <v>1.0</v>
      </c>
      <c r="U96" s="6">
        <v>899.0</v>
      </c>
      <c r="V96" s="7"/>
      <c r="W96" s="7"/>
      <c r="X96" s="8">
        <f t="shared" si="1"/>
        <v>1.98019802</v>
      </c>
      <c r="Y96" s="9">
        <f t="shared" si="2"/>
        <v>301</v>
      </c>
      <c r="Z96" s="8">
        <f t="shared" si="3"/>
        <v>2.150537634</v>
      </c>
      <c r="AA96" s="8">
        <f t="shared" si="4"/>
        <v>1.086021505</v>
      </c>
      <c r="AB96" s="8">
        <f t="shared" si="5"/>
        <v>0.01075268817</v>
      </c>
      <c r="AC96" s="8">
        <f t="shared" si="6"/>
        <v>14.28571429</v>
      </c>
      <c r="AD96" s="8">
        <f t="shared" si="7"/>
        <v>7.214285714</v>
      </c>
      <c r="AE96" s="8">
        <f t="shared" si="8"/>
        <v>0.07142857143</v>
      </c>
      <c r="AF96" s="8">
        <f t="shared" si="9"/>
        <v>100</v>
      </c>
      <c r="AG96" s="8">
        <f t="shared" si="10"/>
        <v>50.5</v>
      </c>
      <c r="AH96" s="8">
        <f t="shared" si="11"/>
        <v>0.5</v>
      </c>
      <c r="AI96" s="10">
        <f t="shared" si="12"/>
        <v>0.8333333333</v>
      </c>
      <c r="AJ96" s="11">
        <f t="shared" si="13"/>
        <v>0.4208333333</v>
      </c>
      <c r="AK96" s="12">
        <f t="shared" si="14"/>
        <v>0.004166666667</v>
      </c>
    </row>
    <row r="97">
      <c r="A97" s="4" t="s">
        <v>158</v>
      </c>
      <c r="B97" s="4" t="s">
        <v>159</v>
      </c>
      <c r="C97" s="4" t="s">
        <v>56</v>
      </c>
      <c r="D97" s="6">
        <v>4303.0</v>
      </c>
      <c r="E97" s="6">
        <v>1023.0</v>
      </c>
      <c r="F97" s="6">
        <v>1023.0</v>
      </c>
      <c r="G97" s="6">
        <v>4303.0</v>
      </c>
      <c r="H97" s="6">
        <v>30.0</v>
      </c>
      <c r="I97" s="6">
        <v>193.0</v>
      </c>
      <c r="J97" s="6">
        <v>2780.0</v>
      </c>
      <c r="K97" s="6">
        <v>147.0</v>
      </c>
      <c r="L97" s="4" t="s">
        <v>50</v>
      </c>
      <c r="M97" s="6">
        <v>11000.0</v>
      </c>
      <c r="N97" s="6">
        <v>4000.0</v>
      </c>
      <c r="O97" s="6">
        <v>2400.0</v>
      </c>
      <c r="P97" s="6">
        <v>4000.0</v>
      </c>
      <c r="Q97" s="6">
        <v>6.0</v>
      </c>
      <c r="R97" s="6">
        <v>32.0</v>
      </c>
      <c r="S97" s="7"/>
      <c r="T97" s="6">
        <v>98.0</v>
      </c>
      <c r="U97" s="6">
        <v>375.0</v>
      </c>
      <c r="V97" s="7"/>
      <c r="W97" s="7"/>
      <c r="X97" s="8">
        <f t="shared" si="1"/>
        <v>1</v>
      </c>
      <c r="Y97" s="9">
        <f t="shared" si="2"/>
        <v>8000</v>
      </c>
      <c r="Z97" s="8">
        <f t="shared" si="3"/>
        <v>3.910068426</v>
      </c>
      <c r="AA97" s="8">
        <f t="shared" si="4"/>
        <v>3.910068426</v>
      </c>
      <c r="AB97" s="8">
        <f t="shared" si="5"/>
        <v>0.09579667644</v>
      </c>
      <c r="AC97" s="8">
        <f t="shared" si="6"/>
        <v>20.7253886</v>
      </c>
      <c r="AD97" s="8">
        <f t="shared" si="7"/>
        <v>20.7253886</v>
      </c>
      <c r="AE97" s="8">
        <f t="shared" si="8"/>
        <v>0.5077720207</v>
      </c>
      <c r="AF97" s="8">
        <f t="shared" si="9"/>
        <v>133.3333333</v>
      </c>
      <c r="AG97" s="8">
        <f t="shared" si="10"/>
        <v>133.3333333</v>
      </c>
      <c r="AH97" s="8">
        <f t="shared" si="11"/>
        <v>3.266666667</v>
      </c>
      <c r="AI97" s="10">
        <f t="shared" si="12"/>
        <v>1.438848921</v>
      </c>
      <c r="AJ97" s="11">
        <f t="shared" si="13"/>
        <v>1.438848921</v>
      </c>
      <c r="AK97" s="12">
        <f t="shared" si="14"/>
        <v>0.03525179856</v>
      </c>
    </row>
    <row r="98">
      <c r="A98" s="4" t="s">
        <v>160</v>
      </c>
      <c r="B98" s="4" t="s">
        <v>159</v>
      </c>
      <c r="C98" s="4" t="s">
        <v>49</v>
      </c>
      <c r="D98" s="6">
        <v>6452.0</v>
      </c>
      <c r="E98" s="6">
        <v>1535.0</v>
      </c>
      <c r="F98" s="6">
        <v>1535.0</v>
      </c>
      <c r="G98" s="6">
        <v>6452.0</v>
      </c>
      <c r="H98" s="6">
        <v>24.0</v>
      </c>
      <c r="I98" s="6">
        <v>281.0</v>
      </c>
      <c r="J98" s="6">
        <v>4044.0</v>
      </c>
      <c r="K98" s="6">
        <v>201.0</v>
      </c>
      <c r="L98" s="4" t="s">
        <v>50</v>
      </c>
      <c r="M98" s="6">
        <v>10000.0</v>
      </c>
      <c r="N98" s="6">
        <v>9000.0</v>
      </c>
      <c r="O98" s="6">
        <v>3300.0</v>
      </c>
      <c r="P98" s="6">
        <v>4000.0</v>
      </c>
      <c r="Q98" s="6">
        <v>5.0</v>
      </c>
      <c r="R98" s="6">
        <v>22.0</v>
      </c>
      <c r="S98" s="7"/>
      <c r="T98" s="6">
        <v>103.0</v>
      </c>
      <c r="U98" s="6">
        <v>187.0</v>
      </c>
      <c r="V98" s="7"/>
      <c r="W98" s="7"/>
      <c r="X98" s="8">
        <f t="shared" si="1"/>
        <v>2.25</v>
      </c>
      <c r="Y98" s="9">
        <f t="shared" si="2"/>
        <v>13000</v>
      </c>
      <c r="Z98" s="8">
        <f t="shared" si="3"/>
        <v>5.863192182</v>
      </c>
      <c r="AA98" s="8">
        <f t="shared" si="4"/>
        <v>2.605863192</v>
      </c>
      <c r="AB98" s="8">
        <f t="shared" si="5"/>
        <v>0.0671009772</v>
      </c>
      <c r="AC98" s="8">
        <f t="shared" si="6"/>
        <v>32.02846975</v>
      </c>
      <c r="AD98" s="8">
        <f t="shared" si="7"/>
        <v>14.23487544</v>
      </c>
      <c r="AE98" s="8">
        <f t="shared" si="8"/>
        <v>0.3665480427</v>
      </c>
      <c r="AF98" s="8">
        <f t="shared" si="9"/>
        <v>375</v>
      </c>
      <c r="AG98" s="8">
        <f t="shared" si="10"/>
        <v>166.6666667</v>
      </c>
      <c r="AH98" s="8">
        <f t="shared" si="11"/>
        <v>4.291666667</v>
      </c>
      <c r="AI98" s="10">
        <f t="shared" si="12"/>
        <v>2.225519288</v>
      </c>
      <c r="AJ98" s="11">
        <f t="shared" si="13"/>
        <v>0.9891196835</v>
      </c>
      <c r="AK98" s="12">
        <f t="shared" si="14"/>
        <v>0.02546983185</v>
      </c>
    </row>
    <row r="99">
      <c r="A99" s="4" t="s">
        <v>161</v>
      </c>
      <c r="B99" s="4" t="s">
        <v>159</v>
      </c>
      <c r="C99" s="4" t="s">
        <v>60</v>
      </c>
      <c r="D99" s="6">
        <v>3789.0</v>
      </c>
      <c r="E99" s="6">
        <v>901.0</v>
      </c>
      <c r="F99" s="6">
        <v>901.0</v>
      </c>
      <c r="G99" s="6">
        <v>3789.0</v>
      </c>
      <c r="H99" s="6">
        <v>14.0</v>
      </c>
      <c r="I99" s="6">
        <v>160.0</v>
      </c>
      <c r="J99" s="6">
        <v>2306.0</v>
      </c>
      <c r="K99" s="6">
        <v>164.0</v>
      </c>
      <c r="L99" s="4" t="s">
        <v>50</v>
      </c>
      <c r="M99" s="6">
        <v>7000.0</v>
      </c>
      <c r="N99" s="6">
        <v>4000.0</v>
      </c>
      <c r="O99" s="6">
        <v>1700.0</v>
      </c>
      <c r="P99" s="6">
        <v>2000.0</v>
      </c>
      <c r="Q99" s="6">
        <v>4.0</v>
      </c>
      <c r="R99" s="6">
        <v>22.0</v>
      </c>
      <c r="S99" s="7"/>
      <c r="T99" s="6">
        <v>67.0</v>
      </c>
      <c r="U99" s="6">
        <v>262.0</v>
      </c>
      <c r="V99" s="7"/>
      <c r="W99" s="7"/>
      <c r="X99" s="8">
        <f t="shared" si="1"/>
        <v>2</v>
      </c>
      <c r="Y99" s="9">
        <f t="shared" si="2"/>
        <v>6000</v>
      </c>
      <c r="Z99" s="8">
        <f t="shared" si="3"/>
        <v>4.439511654</v>
      </c>
      <c r="AA99" s="8">
        <f t="shared" si="4"/>
        <v>2.219755827</v>
      </c>
      <c r="AB99" s="8">
        <f t="shared" si="5"/>
        <v>0.0743618202</v>
      </c>
      <c r="AC99" s="8">
        <f t="shared" si="6"/>
        <v>25</v>
      </c>
      <c r="AD99" s="8">
        <f t="shared" si="7"/>
        <v>12.5</v>
      </c>
      <c r="AE99" s="8">
        <f t="shared" si="8"/>
        <v>0.41875</v>
      </c>
      <c r="AF99" s="8">
        <f t="shared" si="9"/>
        <v>285.7142857</v>
      </c>
      <c r="AG99" s="8">
        <f t="shared" si="10"/>
        <v>142.8571429</v>
      </c>
      <c r="AH99" s="8">
        <f t="shared" si="11"/>
        <v>4.785714286</v>
      </c>
      <c r="AI99" s="10">
        <f t="shared" si="12"/>
        <v>1.734605377</v>
      </c>
      <c r="AJ99" s="11">
        <f t="shared" si="13"/>
        <v>0.8673026886</v>
      </c>
      <c r="AK99" s="12">
        <f t="shared" si="14"/>
        <v>0.02905464007</v>
      </c>
    </row>
    <row r="100">
      <c r="A100" s="4" t="s">
        <v>162</v>
      </c>
      <c r="B100" s="4" t="s">
        <v>159</v>
      </c>
      <c r="C100" s="4" t="s">
        <v>73</v>
      </c>
      <c r="D100" s="6">
        <v>4521.0</v>
      </c>
      <c r="E100" s="6">
        <v>1075.0</v>
      </c>
      <c r="F100" s="6">
        <v>1075.0</v>
      </c>
      <c r="G100" s="6">
        <v>4521.0</v>
      </c>
      <c r="H100" s="6">
        <v>23.0</v>
      </c>
      <c r="I100" s="6">
        <v>197.0</v>
      </c>
      <c r="J100" s="6">
        <v>2100.0</v>
      </c>
      <c r="K100" s="6">
        <v>201.0</v>
      </c>
      <c r="L100" s="4" t="s">
        <v>50</v>
      </c>
      <c r="M100" s="6">
        <v>11000.0</v>
      </c>
      <c r="N100" s="6">
        <v>6000.0</v>
      </c>
      <c r="O100" s="6">
        <v>2200.0</v>
      </c>
      <c r="P100" s="6">
        <v>3000.0</v>
      </c>
      <c r="Q100" s="6">
        <v>6.0</v>
      </c>
      <c r="R100" s="6">
        <v>20.0</v>
      </c>
      <c r="S100" s="7"/>
      <c r="T100" s="6">
        <v>61.0</v>
      </c>
      <c r="U100" s="6">
        <v>187.0</v>
      </c>
      <c r="V100" s="7"/>
      <c r="W100" s="7"/>
      <c r="X100" s="8">
        <f t="shared" si="1"/>
        <v>2</v>
      </c>
      <c r="Y100" s="9">
        <f t="shared" si="2"/>
        <v>9000</v>
      </c>
      <c r="Z100" s="8">
        <f t="shared" si="3"/>
        <v>5.581395349</v>
      </c>
      <c r="AA100" s="8">
        <f t="shared" si="4"/>
        <v>2.790697674</v>
      </c>
      <c r="AB100" s="8">
        <f t="shared" si="5"/>
        <v>0.05674418605</v>
      </c>
      <c r="AC100" s="8">
        <f t="shared" si="6"/>
        <v>30.45685279</v>
      </c>
      <c r="AD100" s="8">
        <f t="shared" si="7"/>
        <v>15.2284264</v>
      </c>
      <c r="AE100" s="8">
        <f t="shared" si="8"/>
        <v>0.3096446701</v>
      </c>
      <c r="AF100" s="8">
        <f t="shared" si="9"/>
        <v>260.8695652</v>
      </c>
      <c r="AG100" s="8">
        <f t="shared" si="10"/>
        <v>130.4347826</v>
      </c>
      <c r="AH100" s="8">
        <f t="shared" si="11"/>
        <v>2.652173913</v>
      </c>
      <c r="AI100" s="10">
        <f t="shared" si="12"/>
        <v>2.857142857</v>
      </c>
      <c r="AJ100" s="11">
        <f t="shared" si="13"/>
        <v>1.428571429</v>
      </c>
      <c r="AK100" s="12">
        <f t="shared" si="14"/>
        <v>0.02904761905</v>
      </c>
    </row>
    <row r="101">
      <c r="A101" s="4" t="s">
        <v>163</v>
      </c>
      <c r="B101" s="4" t="s">
        <v>159</v>
      </c>
      <c r="C101" s="4" t="s">
        <v>70</v>
      </c>
      <c r="D101" s="6">
        <v>3488.0</v>
      </c>
      <c r="E101" s="6">
        <v>1661.0</v>
      </c>
      <c r="F101" s="6">
        <v>830.0</v>
      </c>
      <c r="G101" s="6">
        <v>13954.0</v>
      </c>
      <c r="H101" s="6">
        <v>0.0</v>
      </c>
      <c r="I101" s="6">
        <v>228.0</v>
      </c>
      <c r="J101" s="6">
        <v>4374.0</v>
      </c>
      <c r="K101" s="6">
        <v>164.0</v>
      </c>
      <c r="L101" s="4" t="s">
        <v>50</v>
      </c>
      <c r="M101" s="6">
        <v>10000.0</v>
      </c>
      <c r="N101" s="6">
        <v>5000.0</v>
      </c>
      <c r="O101" s="6">
        <v>3100.0</v>
      </c>
      <c r="P101" s="6">
        <v>4000.0</v>
      </c>
      <c r="Q101" s="6">
        <v>6.0</v>
      </c>
      <c r="R101" s="6">
        <v>24.0</v>
      </c>
      <c r="S101" s="7"/>
      <c r="T101" s="6">
        <v>75.0</v>
      </c>
      <c r="U101" s="6">
        <v>262.0</v>
      </c>
      <c r="V101" s="7"/>
      <c r="W101" s="7"/>
      <c r="X101" s="8">
        <f t="shared" si="1"/>
        <v>1.25</v>
      </c>
      <c r="Y101" s="9">
        <f t="shared" si="2"/>
        <v>9000</v>
      </c>
      <c r="Z101" s="8">
        <f t="shared" si="3"/>
        <v>3.010234798</v>
      </c>
      <c r="AA101" s="8">
        <f t="shared" si="4"/>
        <v>2.408187839</v>
      </c>
      <c r="AB101" s="8">
        <f t="shared" si="5"/>
        <v>0.04515352197</v>
      </c>
      <c r="AC101" s="8">
        <f t="shared" si="6"/>
        <v>21.92982456</v>
      </c>
      <c r="AD101" s="8">
        <f t="shared" si="7"/>
        <v>17.54385965</v>
      </c>
      <c r="AE101" s="8">
        <f t="shared" si="8"/>
        <v>0.3289473684</v>
      </c>
      <c r="AF101" s="8" t="str">
        <f t="shared" si="9"/>
        <v>#DIV/0!</v>
      </c>
      <c r="AG101" s="8" t="str">
        <f t="shared" si="10"/>
        <v>#DIV/0!</v>
      </c>
      <c r="AH101" s="8" t="str">
        <f t="shared" si="11"/>
        <v>#DIV/0!</v>
      </c>
      <c r="AI101" s="10">
        <f t="shared" si="12"/>
        <v>1.143118427</v>
      </c>
      <c r="AJ101" s="11">
        <f t="shared" si="13"/>
        <v>0.9144947417</v>
      </c>
      <c r="AK101" s="12">
        <f t="shared" si="14"/>
        <v>0.01714677641</v>
      </c>
    </row>
    <row r="102">
      <c r="A102" s="4" t="s">
        <v>164</v>
      </c>
      <c r="B102" s="4" t="s">
        <v>159</v>
      </c>
      <c r="C102" s="4" t="s">
        <v>92</v>
      </c>
      <c r="D102" s="6">
        <v>3843.0</v>
      </c>
      <c r="E102" s="6">
        <v>914.0</v>
      </c>
      <c r="F102" s="6">
        <v>914.0</v>
      </c>
      <c r="G102" s="6">
        <v>3843.0</v>
      </c>
      <c r="H102" s="6">
        <v>38.0</v>
      </c>
      <c r="I102" s="6">
        <v>167.0</v>
      </c>
      <c r="J102" s="6">
        <v>2409.0</v>
      </c>
      <c r="K102" s="6">
        <v>164.0</v>
      </c>
      <c r="L102" s="4" t="s">
        <v>50</v>
      </c>
      <c r="M102" s="6">
        <v>8000.0</v>
      </c>
      <c r="N102" s="6">
        <v>5000.0</v>
      </c>
      <c r="O102" s="6">
        <v>3100.0</v>
      </c>
      <c r="P102" s="6">
        <v>4000.0</v>
      </c>
      <c r="Q102" s="6">
        <v>4.0</v>
      </c>
      <c r="R102" s="6">
        <v>18.0</v>
      </c>
      <c r="S102" s="7"/>
      <c r="T102" s="6">
        <v>55.0</v>
      </c>
      <c r="U102" s="6">
        <v>262.0</v>
      </c>
      <c r="V102" s="7"/>
      <c r="W102" s="7"/>
      <c r="X102" s="8">
        <f t="shared" si="1"/>
        <v>1.25</v>
      </c>
      <c r="Y102" s="9">
        <f t="shared" si="2"/>
        <v>9000</v>
      </c>
      <c r="Z102" s="8">
        <f t="shared" si="3"/>
        <v>5.470459519</v>
      </c>
      <c r="AA102" s="8">
        <f t="shared" si="4"/>
        <v>4.376367615</v>
      </c>
      <c r="AB102" s="8">
        <f t="shared" si="5"/>
        <v>0.0601750547</v>
      </c>
      <c r="AC102" s="8">
        <f t="shared" si="6"/>
        <v>29.94011976</v>
      </c>
      <c r="AD102" s="8">
        <f t="shared" si="7"/>
        <v>23.95209581</v>
      </c>
      <c r="AE102" s="8">
        <f t="shared" si="8"/>
        <v>0.3293413174</v>
      </c>
      <c r="AF102" s="8">
        <f t="shared" si="9"/>
        <v>131.5789474</v>
      </c>
      <c r="AG102" s="8">
        <f t="shared" si="10"/>
        <v>105.2631579</v>
      </c>
      <c r="AH102" s="8">
        <f t="shared" si="11"/>
        <v>1.447368421</v>
      </c>
      <c r="AI102" s="10">
        <f t="shared" si="12"/>
        <v>2.075550021</v>
      </c>
      <c r="AJ102" s="11">
        <f t="shared" si="13"/>
        <v>1.660440017</v>
      </c>
      <c r="AK102" s="12">
        <f t="shared" si="14"/>
        <v>0.02283105023</v>
      </c>
    </row>
    <row r="103">
      <c r="A103" s="4" t="s">
        <v>165</v>
      </c>
      <c r="B103" s="4" t="s">
        <v>159</v>
      </c>
      <c r="C103" s="4" t="s">
        <v>49</v>
      </c>
      <c r="D103" s="6">
        <v>5408.0</v>
      </c>
      <c r="E103" s="6">
        <v>1287.0</v>
      </c>
      <c r="F103" s="6">
        <v>1287.0</v>
      </c>
      <c r="G103" s="6">
        <v>5408.0</v>
      </c>
      <c r="H103" s="6">
        <v>13.0</v>
      </c>
      <c r="I103" s="6">
        <v>236.0</v>
      </c>
      <c r="J103" s="6">
        <v>3390.0</v>
      </c>
      <c r="K103" s="6">
        <v>219.0</v>
      </c>
      <c r="L103" s="4" t="s">
        <v>50</v>
      </c>
      <c r="M103" s="6">
        <v>5000.0</v>
      </c>
      <c r="N103" s="6">
        <v>16000.0</v>
      </c>
      <c r="O103" s="6">
        <v>9000.0</v>
      </c>
      <c r="P103" s="6">
        <v>947.0</v>
      </c>
      <c r="Q103" s="6">
        <v>6.0</v>
      </c>
      <c r="R103" s="6">
        <v>12.0</v>
      </c>
      <c r="S103" s="7"/>
      <c r="T103" s="6">
        <v>32.0</v>
      </c>
      <c r="U103" s="6">
        <v>299.0</v>
      </c>
      <c r="V103" s="7"/>
      <c r="W103" s="7"/>
      <c r="X103" s="8">
        <f t="shared" si="1"/>
        <v>16.89545935</v>
      </c>
      <c r="Y103" s="9">
        <f t="shared" si="2"/>
        <v>16947</v>
      </c>
      <c r="Z103" s="8">
        <f t="shared" si="3"/>
        <v>12.43201243</v>
      </c>
      <c r="AA103" s="8">
        <f t="shared" si="4"/>
        <v>0.7358197358</v>
      </c>
      <c r="AB103" s="8">
        <f t="shared" si="5"/>
        <v>0.02486402486</v>
      </c>
      <c r="AC103" s="8">
        <f t="shared" si="6"/>
        <v>67.79661017</v>
      </c>
      <c r="AD103" s="8">
        <f t="shared" si="7"/>
        <v>4.012711864</v>
      </c>
      <c r="AE103" s="8">
        <f t="shared" si="8"/>
        <v>0.1355932203</v>
      </c>
      <c r="AF103" s="8">
        <f t="shared" si="9"/>
        <v>1230.769231</v>
      </c>
      <c r="AG103" s="8">
        <f t="shared" si="10"/>
        <v>72.84615385</v>
      </c>
      <c r="AH103" s="8">
        <f t="shared" si="11"/>
        <v>2.461538462</v>
      </c>
      <c r="AI103" s="10">
        <f t="shared" si="12"/>
        <v>4.719764012</v>
      </c>
      <c r="AJ103" s="11">
        <f t="shared" si="13"/>
        <v>0.2793510324</v>
      </c>
      <c r="AK103" s="12">
        <f t="shared" si="14"/>
        <v>0.009439528024</v>
      </c>
    </row>
    <row r="104">
      <c r="A104" s="4" t="s">
        <v>166</v>
      </c>
      <c r="B104" s="4" t="s">
        <v>159</v>
      </c>
      <c r="C104" s="4" t="s">
        <v>64</v>
      </c>
      <c r="D104" s="6">
        <v>5471.0</v>
      </c>
      <c r="E104" s="6">
        <v>1301.0</v>
      </c>
      <c r="F104" s="6">
        <v>1301.0</v>
      </c>
      <c r="G104" s="6">
        <v>5471.0</v>
      </c>
      <c r="H104" s="6">
        <v>30.0</v>
      </c>
      <c r="I104" s="6">
        <v>238.0</v>
      </c>
      <c r="J104" s="6">
        <v>3428.0</v>
      </c>
      <c r="K104" s="6">
        <v>97.0</v>
      </c>
      <c r="L104" s="4" t="s">
        <v>50</v>
      </c>
      <c r="M104" s="6">
        <v>15000.0</v>
      </c>
      <c r="N104" s="6">
        <v>12000.0</v>
      </c>
      <c r="O104" s="6">
        <v>5100.0</v>
      </c>
      <c r="P104" s="6">
        <v>6000.0</v>
      </c>
      <c r="Q104" s="6">
        <v>6.0</v>
      </c>
      <c r="R104" s="6">
        <v>24.0</v>
      </c>
      <c r="S104" s="7"/>
      <c r="T104" s="6">
        <v>74.0</v>
      </c>
      <c r="U104" s="6">
        <v>337.0</v>
      </c>
      <c r="V104" s="7"/>
      <c r="W104" s="7"/>
      <c r="X104" s="8">
        <f t="shared" si="1"/>
        <v>2</v>
      </c>
      <c r="Y104" s="9">
        <f t="shared" si="2"/>
        <v>18000</v>
      </c>
      <c r="Z104" s="8">
        <f t="shared" si="3"/>
        <v>9.223674097</v>
      </c>
      <c r="AA104" s="8">
        <f t="shared" si="4"/>
        <v>4.611837048</v>
      </c>
      <c r="AB104" s="8">
        <f t="shared" si="5"/>
        <v>0.0568793236</v>
      </c>
      <c r="AC104" s="8">
        <f t="shared" si="6"/>
        <v>50.42016807</v>
      </c>
      <c r="AD104" s="8">
        <f t="shared" si="7"/>
        <v>25.21008403</v>
      </c>
      <c r="AE104" s="8">
        <f t="shared" si="8"/>
        <v>0.3109243697</v>
      </c>
      <c r="AF104" s="8">
        <f t="shared" si="9"/>
        <v>400</v>
      </c>
      <c r="AG104" s="8">
        <f t="shared" si="10"/>
        <v>200</v>
      </c>
      <c r="AH104" s="8">
        <f t="shared" si="11"/>
        <v>2.466666667</v>
      </c>
      <c r="AI104" s="10">
        <f t="shared" si="12"/>
        <v>3.500583431</v>
      </c>
      <c r="AJ104" s="11">
        <f t="shared" si="13"/>
        <v>1.750291715</v>
      </c>
      <c r="AK104" s="12">
        <f t="shared" si="14"/>
        <v>0.02158693116</v>
      </c>
    </row>
    <row r="105">
      <c r="A105" s="4" t="s">
        <v>167</v>
      </c>
      <c r="B105" s="4" t="s">
        <v>159</v>
      </c>
      <c r="C105" s="4" t="s">
        <v>168</v>
      </c>
      <c r="D105" s="6">
        <v>621.0</v>
      </c>
      <c r="E105" s="6">
        <v>295.0</v>
      </c>
      <c r="F105" s="6">
        <v>590.0</v>
      </c>
      <c r="G105" s="6">
        <v>621.0</v>
      </c>
      <c r="H105" s="6">
        <v>0.0</v>
      </c>
      <c r="I105" s="6">
        <v>81.0</v>
      </c>
      <c r="J105" s="6">
        <v>777.0</v>
      </c>
      <c r="K105" s="6">
        <v>164.0</v>
      </c>
      <c r="L105" s="4" t="s">
        <v>50</v>
      </c>
      <c r="M105" s="6">
        <v>8000.0</v>
      </c>
      <c r="N105" s="6">
        <v>8000.0</v>
      </c>
      <c r="O105" s="6">
        <v>2500.0</v>
      </c>
      <c r="P105" s="6">
        <v>3000.0</v>
      </c>
      <c r="Q105" s="6">
        <v>4.0</v>
      </c>
      <c r="R105" s="6">
        <v>34.0</v>
      </c>
      <c r="S105" s="7"/>
      <c r="T105" s="6">
        <v>160.0</v>
      </c>
      <c r="U105" s="6">
        <v>262.0</v>
      </c>
      <c r="V105" s="7"/>
      <c r="W105" s="7"/>
      <c r="X105" s="8">
        <f t="shared" si="1"/>
        <v>2.666666667</v>
      </c>
      <c r="Y105" s="9">
        <f t="shared" si="2"/>
        <v>11000</v>
      </c>
      <c r="Z105" s="8">
        <f t="shared" si="3"/>
        <v>27.11864407</v>
      </c>
      <c r="AA105" s="8">
        <f t="shared" si="4"/>
        <v>10.16949153</v>
      </c>
      <c r="AB105" s="8">
        <f t="shared" si="5"/>
        <v>0.5423728814</v>
      </c>
      <c r="AC105" s="8">
        <f t="shared" si="6"/>
        <v>98.7654321</v>
      </c>
      <c r="AD105" s="8">
        <f t="shared" si="7"/>
        <v>37.03703704</v>
      </c>
      <c r="AE105" s="8">
        <f t="shared" si="8"/>
        <v>1.975308642</v>
      </c>
      <c r="AF105" s="8" t="str">
        <f t="shared" si="9"/>
        <v>#DIV/0!</v>
      </c>
      <c r="AG105" s="8" t="str">
        <f t="shared" si="10"/>
        <v>#DIV/0!</v>
      </c>
      <c r="AH105" s="8" t="str">
        <f t="shared" si="11"/>
        <v>#DIV/0!</v>
      </c>
      <c r="AI105" s="10">
        <f t="shared" si="12"/>
        <v>10.2960103</v>
      </c>
      <c r="AJ105" s="11">
        <f t="shared" si="13"/>
        <v>3.861003861</v>
      </c>
      <c r="AK105" s="12">
        <f t="shared" si="14"/>
        <v>0.2059202059</v>
      </c>
    </row>
    <row r="106">
      <c r="A106" s="4" t="s">
        <v>169</v>
      </c>
      <c r="B106" s="4" t="s">
        <v>159</v>
      </c>
      <c r="C106" s="4" t="s">
        <v>91</v>
      </c>
      <c r="D106" s="6">
        <v>2462.0</v>
      </c>
      <c r="E106" s="6">
        <v>585.0</v>
      </c>
      <c r="F106" s="6">
        <v>585.0</v>
      </c>
      <c r="G106" s="6">
        <v>2462.0</v>
      </c>
      <c r="H106" s="6">
        <v>16.0</v>
      </c>
      <c r="I106" s="6">
        <v>107.0</v>
      </c>
      <c r="J106" s="6">
        <v>1543.0</v>
      </c>
      <c r="K106" s="6">
        <v>94.0</v>
      </c>
      <c r="L106" s="4" t="s">
        <v>50</v>
      </c>
      <c r="M106" s="6">
        <v>7000.0</v>
      </c>
      <c r="N106" s="6">
        <v>1000.0</v>
      </c>
      <c r="O106" s="6">
        <v>950.0</v>
      </c>
      <c r="P106" s="6">
        <v>1000.0</v>
      </c>
      <c r="Q106" s="6">
        <v>5.0</v>
      </c>
      <c r="R106" s="6">
        <v>20.0</v>
      </c>
      <c r="S106" s="7"/>
      <c r="T106" s="6">
        <v>61.0</v>
      </c>
      <c r="U106" s="6">
        <v>449.0</v>
      </c>
      <c r="V106" s="7"/>
      <c r="W106" s="7"/>
      <c r="X106" s="8">
        <f t="shared" si="1"/>
        <v>1</v>
      </c>
      <c r="Y106" s="9">
        <f t="shared" si="2"/>
        <v>2000</v>
      </c>
      <c r="Z106" s="8">
        <f t="shared" si="3"/>
        <v>1.709401709</v>
      </c>
      <c r="AA106" s="8">
        <f t="shared" si="4"/>
        <v>1.709401709</v>
      </c>
      <c r="AB106" s="8">
        <f t="shared" si="5"/>
        <v>0.1042735043</v>
      </c>
      <c r="AC106" s="8">
        <f t="shared" si="6"/>
        <v>9.345794393</v>
      </c>
      <c r="AD106" s="8">
        <f t="shared" si="7"/>
        <v>9.345794393</v>
      </c>
      <c r="AE106" s="8">
        <f t="shared" si="8"/>
        <v>0.5700934579</v>
      </c>
      <c r="AF106" s="8">
        <f t="shared" si="9"/>
        <v>62.5</v>
      </c>
      <c r="AG106" s="8">
        <f t="shared" si="10"/>
        <v>62.5</v>
      </c>
      <c r="AH106" s="8">
        <f t="shared" si="11"/>
        <v>3.8125</v>
      </c>
      <c r="AI106" s="10">
        <f t="shared" si="12"/>
        <v>0.64808814</v>
      </c>
      <c r="AJ106" s="11">
        <f t="shared" si="13"/>
        <v>0.64808814</v>
      </c>
      <c r="AK106" s="12">
        <f t="shared" si="14"/>
        <v>0.03953337654</v>
      </c>
    </row>
    <row r="107" ht="16.5" customHeight="1">
      <c r="A107" s="4" t="s">
        <v>170</v>
      </c>
      <c r="B107" s="4" t="s">
        <v>159</v>
      </c>
      <c r="C107" s="4" t="s">
        <v>171</v>
      </c>
      <c r="D107" s="6">
        <v>5129.0</v>
      </c>
      <c r="E107" s="6">
        <v>1220.0</v>
      </c>
      <c r="F107" s="6">
        <v>1220.0</v>
      </c>
      <c r="G107" s="6">
        <v>5129.0</v>
      </c>
      <c r="H107" s="6">
        <v>31.0</v>
      </c>
      <c r="I107" s="6">
        <v>224.0</v>
      </c>
      <c r="J107" s="6">
        <v>3217.0</v>
      </c>
      <c r="K107" s="6">
        <v>135.0</v>
      </c>
      <c r="L107" s="4" t="s">
        <v>50</v>
      </c>
      <c r="M107" s="6">
        <v>13000.0</v>
      </c>
      <c r="N107" s="6">
        <v>6000.0</v>
      </c>
      <c r="O107" s="6">
        <v>2200.0</v>
      </c>
      <c r="P107" s="6">
        <v>4000.0</v>
      </c>
      <c r="Q107" s="6">
        <v>6.0</v>
      </c>
      <c r="R107" s="6">
        <v>18.0</v>
      </c>
      <c r="S107" s="7"/>
      <c r="T107" s="6">
        <v>72.0</v>
      </c>
      <c r="U107" s="6">
        <v>375.0</v>
      </c>
      <c r="V107" s="7"/>
      <c r="W107" s="7"/>
      <c r="X107" s="8">
        <f t="shared" si="1"/>
        <v>1.5</v>
      </c>
      <c r="Y107" s="9">
        <f t="shared" si="2"/>
        <v>10000</v>
      </c>
      <c r="Z107" s="8">
        <f t="shared" si="3"/>
        <v>4.918032787</v>
      </c>
      <c r="AA107" s="8">
        <f t="shared" si="4"/>
        <v>3.278688525</v>
      </c>
      <c r="AB107" s="8">
        <f t="shared" si="5"/>
        <v>0.05901639344</v>
      </c>
      <c r="AC107" s="8">
        <f t="shared" si="6"/>
        <v>26.78571429</v>
      </c>
      <c r="AD107" s="8">
        <f t="shared" si="7"/>
        <v>17.85714286</v>
      </c>
      <c r="AE107" s="8">
        <f t="shared" si="8"/>
        <v>0.3214285714</v>
      </c>
      <c r="AF107" s="8">
        <f t="shared" si="9"/>
        <v>193.5483871</v>
      </c>
      <c r="AG107" s="8">
        <f t="shared" si="10"/>
        <v>129.0322581</v>
      </c>
      <c r="AH107" s="8">
        <f t="shared" si="11"/>
        <v>2.322580645</v>
      </c>
      <c r="AI107" s="10">
        <f t="shared" si="12"/>
        <v>1.8650917</v>
      </c>
      <c r="AJ107" s="11">
        <f t="shared" si="13"/>
        <v>1.243394467</v>
      </c>
      <c r="AK107" s="12">
        <f t="shared" si="14"/>
        <v>0.0223811004</v>
      </c>
    </row>
    <row r="108">
      <c r="A108" s="4" t="s">
        <v>172</v>
      </c>
      <c r="B108" s="4" t="s">
        <v>159</v>
      </c>
      <c r="C108" s="4" t="s">
        <v>49</v>
      </c>
      <c r="D108" s="6">
        <v>5007.0</v>
      </c>
      <c r="E108" s="6">
        <v>1191.0</v>
      </c>
      <c r="F108" s="6">
        <v>1191.0</v>
      </c>
      <c r="G108" s="6">
        <v>5007.0</v>
      </c>
      <c r="H108" s="6">
        <v>21.0</v>
      </c>
      <c r="I108" s="6">
        <v>218.0</v>
      </c>
      <c r="J108" s="6">
        <v>3139.0</v>
      </c>
      <c r="K108" s="6">
        <v>164.0</v>
      </c>
      <c r="L108" s="4" t="s">
        <v>50</v>
      </c>
      <c r="M108" s="6">
        <v>6000.0</v>
      </c>
      <c r="N108" s="6">
        <v>6000.0</v>
      </c>
      <c r="O108" s="6">
        <v>2550.0</v>
      </c>
      <c r="P108" s="6">
        <v>1000.0</v>
      </c>
      <c r="Q108" s="6">
        <v>5.0</v>
      </c>
      <c r="R108" s="6">
        <v>24.0</v>
      </c>
      <c r="S108" s="7"/>
      <c r="T108" s="6">
        <v>112.0</v>
      </c>
      <c r="U108" s="6">
        <v>262.0</v>
      </c>
      <c r="V108" s="7"/>
      <c r="W108" s="7"/>
      <c r="X108" s="8">
        <f t="shared" si="1"/>
        <v>6</v>
      </c>
      <c r="Y108" s="9">
        <f t="shared" si="2"/>
        <v>7000</v>
      </c>
      <c r="Z108" s="8">
        <f t="shared" si="3"/>
        <v>5.037783375</v>
      </c>
      <c r="AA108" s="8">
        <f t="shared" si="4"/>
        <v>0.8396305626</v>
      </c>
      <c r="AB108" s="8">
        <f t="shared" si="5"/>
        <v>0.09403862301</v>
      </c>
      <c r="AC108" s="8">
        <f t="shared" si="6"/>
        <v>27.52293578</v>
      </c>
      <c r="AD108" s="8">
        <f t="shared" si="7"/>
        <v>4.587155963</v>
      </c>
      <c r="AE108" s="8">
        <f t="shared" si="8"/>
        <v>0.5137614679</v>
      </c>
      <c r="AF108" s="8">
        <f t="shared" si="9"/>
        <v>285.7142857</v>
      </c>
      <c r="AG108" s="8">
        <f t="shared" si="10"/>
        <v>47.61904762</v>
      </c>
      <c r="AH108" s="8">
        <f t="shared" si="11"/>
        <v>5.333333333</v>
      </c>
      <c r="AI108" s="10">
        <f t="shared" si="12"/>
        <v>1.911436763</v>
      </c>
      <c r="AJ108" s="11">
        <f t="shared" si="13"/>
        <v>0.3185727939</v>
      </c>
      <c r="AK108" s="12">
        <f t="shared" si="14"/>
        <v>0.03568015291</v>
      </c>
    </row>
    <row r="109">
      <c r="A109" s="4" t="s">
        <v>173</v>
      </c>
      <c r="B109" s="4" t="s">
        <v>159</v>
      </c>
      <c r="C109" s="4" t="s">
        <v>64</v>
      </c>
      <c r="D109" s="6">
        <v>4363.0</v>
      </c>
      <c r="E109" s="6">
        <v>1038.0</v>
      </c>
      <c r="F109" s="6">
        <v>1038.0</v>
      </c>
      <c r="G109" s="6">
        <v>4363.0</v>
      </c>
      <c r="H109" s="6">
        <v>23.0</v>
      </c>
      <c r="I109" s="6">
        <v>190.0</v>
      </c>
      <c r="J109" s="6">
        <v>2735.0</v>
      </c>
      <c r="K109" s="6">
        <v>88.0</v>
      </c>
      <c r="L109" s="4" t="s">
        <v>50</v>
      </c>
      <c r="M109" s="6">
        <v>10000.0</v>
      </c>
      <c r="N109" s="6">
        <v>6000.0</v>
      </c>
      <c r="O109" s="6">
        <v>2200.0</v>
      </c>
      <c r="P109" s="6">
        <v>4000.0</v>
      </c>
      <c r="Q109" s="6">
        <v>5.0</v>
      </c>
      <c r="R109" s="6">
        <v>22.0</v>
      </c>
      <c r="S109" s="7"/>
      <c r="T109" s="6">
        <v>67.0</v>
      </c>
      <c r="U109" s="6">
        <v>375.0</v>
      </c>
      <c r="V109" s="7"/>
      <c r="W109" s="7"/>
      <c r="X109" s="8">
        <f t="shared" si="1"/>
        <v>1.5</v>
      </c>
      <c r="Y109" s="9">
        <f t="shared" si="2"/>
        <v>10000</v>
      </c>
      <c r="Z109" s="8">
        <f t="shared" si="3"/>
        <v>5.780346821</v>
      </c>
      <c r="AA109" s="8">
        <f t="shared" si="4"/>
        <v>3.853564547</v>
      </c>
      <c r="AB109" s="8">
        <f t="shared" si="5"/>
        <v>0.06454720617</v>
      </c>
      <c r="AC109" s="8">
        <f t="shared" si="6"/>
        <v>31.57894737</v>
      </c>
      <c r="AD109" s="8">
        <f t="shared" si="7"/>
        <v>21.05263158</v>
      </c>
      <c r="AE109" s="8">
        <f t="shared" si="8"/>
        <v>0.3526315789</v>
      </c>
      <c r="AF109" s="8">
        <f t="shared" si="9"/>
        <v>260.8695652</v>
      </c>
      <c r="AG109" s="8">
        <f t="shared" si="10"/>
        <v>173.9130435</v>
      </c>
      <c r="AH109" s="8">
        <f t="shared" si="11"/>
        <v>2.913043478</v>
      </c>
      <c r="AI109" s="10">
        <f t="shared" si="12"/>
        <v>2.193784278</v>
      </c>
      <c r="AJ109" s="11">
        <f t="shared" si="13"/>
        <v>1.462522852</v>
      </c>
      <c r="AK109" s="12">
        <f t="shared" si="14"/>
        <v>0.02449725777</v>
      </c>
    </row>
    <row r="110">
      <c r="A110" s="4" t="s">
        <v>174</v>
      </c>
      <c r="B110" s="4" t="s">
        <v>159</v>
      </c>
      <c r="C110" s="4" t="s">
        <v>49</v>
      </c>
      <c r="D110" s="6">
        <v>5864.0</v>
      </c>
      <c r="E110" s="6">
        <v>1395.0</v>
      </c>
      <c r="F110" s="6">
        <v>1395.0</v>
      </c>
      <c r="G110" s="6">
        <v>5864.0</v>
      </c>
      <c r="H110" s="6">
        <v>23.0</v>
      </c>
      <c r="I110" s="6">
        <v>256.0</v>
      </c>
      <c r="J110" s="6">
        <v>3676.0</v>
      </c>
      <c r="K110" s="6">
        <v>164.0</v>
      </c>
      <c r="L110" s="4" t="s">
        <v>50</v>
      </c>
      <c r="M110" s="6">
        <v>8000.0</v>
      </c>
      <c r="N110" s="6">
        <v>9000.0</v>
      </c>
      <c r="O110" s="6">
        <v>3300.0</v>
      </c>
      <c r="P110" s="6">
        <v>4000.0</v>
      </c>
      <c r="Q110" s="6">
        <v>6.0</v>
      </c>
      <c r="R110" s="6">
        <v>24.0</v>
      </c>
      <c r="S110" s="7"/>
      <c r="T110" s="6">
        <v>112.0</v>
      </c>
      <c r="U110" s="6">
        <v>262.0</v>
      </c>
      <c r="V110" s="7"/>
      <c r="W110" s="7"/>
      <c r="X110" s="8">
        <f t="shared" si="1"/>
        <v>2.25</v>
      </c>
      <c r="Y110" s="9">
        <f t="shared" si="2"/>
        <v>13000</v>
      </c>
      <c r="Z110" s="8">
        <f t="shared" si="3"/>
        <v>6.451612903</v>
      </c>
      <c r="AA110" s="8">
        <f t="shared" si="4"/>
        <v>2.867383513</v>
      </c>
      <c r="AB110" s="8">
        <f t="shared" si="5"/>
        <v>0.08028673835</v>
      </c>
      <c r="AC110" s="8">
        <f t="shared" si="6"/>
        <v>35.15625</v>
      </c>
      <c r="AD110" s="8">
        <f t="shared" si="7"/>
        <v>15.625</v>
      </c>
      <c r="AE110" s="8">
        <f t="shared" si="8"/>
        <v>0.4375</v>
      </c>
      <c r="AF110" s="8">
        <f t="shared" si="9"/>
        <v>391.3043478</v>
      </c>
      <c r="AG110" s="8">
        <f t="shared" si="10"/>
        <v>173.9130435</v>
      </c>
      <c r="AH110" s="8">
        <f t="shared" si="11"/>
        <v>4.869565217</v>
      </c>
      <c r="AI110" s="10">
        <f t="shared" si="12"/>
        <v>2.448313384</v>
      </c>
      <c r="AJ110" s="11">
        <f t="shared" si="13"/>
        <v>1.088139282</v>
      </c>
      <c r="AK110" s="12">
        <f t="shared" si="14"/>
        <v>0.03046789989</v>
      </c>
    </row>
    <row r="111">
      <c r="A111" s="4" t="s">
        <v>175</v>
      </c>
      <c r="B111" s="4" t="s">
        <v>159</v>
      </c>
      <c r="C111" s="4" t="s">
        <v>73</v>
      </c>
      <c r="D111" s="6">
        <v>4806.0</v>
      </c>
      <c r="E111" s="6">
        <v>1144.0</v>
      </c>
      <c r="F111" s="6">
        <v>1144.0</v>
      </c>
      <c r="G111" s="6">
        <v>4806.0</v>
      </c>
      <c r="H111" s="6">
        <v>28.0</v>
      </c>
      <c r="I111" s="6">
        <v>209.0</v>
      </c>
      <c r="J111" s="6">
        <v>2232.0</v>
      </c>
      <c r="K111" s="6">
        <v>126.0</v>
      </c>
      <c r="L111" s="4" t="s">
        <v>50</v>
      </c>
      <c r="M111" s="6">
        <v>12000.0</v>
      </c>
      <c r="N111" s="6">
        <v>8000.0</v>
      </c>
      <c r="O111" s="6">
        <v>2500.0</v>
      </c>
      <c r="P111" s="6">
        <v>4000.0</v>
      </c>
      <c r="Q111" s="6">
        <v>6.0</v>
      </c>
      <c r="R111" s="6">
        <v>24.0</v>
      </c>
      <c r="S111" s="7"/>
      <c r="T111" s="6">
        <v>74.0</v>
      </c>
      <c r="U111" s="6">
        <v>337.0</v>
      </c>
      <c r="V111" s="7"/>
      <c r="W111" s="7"/>
      <c r="X111" s="8">
        <f t="shared" si="1"/>
        <v>2</v>
      </c>
      <c r="Y111" s="9">
        <f t="shared" si="2"/>
        <v>12000</v>
      </c>
      <c r="Z111" s="8">
        <f t="shared" si="3"/>
        <v>6.993006993</v>
      </c>
      <c r="AA111" s="8">
        <f t="shared" si="4"/>
        <v>3.496503497</v>
      </c>
      <c r="AB111" s="8">
        <f t="shared" si="5"/>
        <v>0.06468531469</v>
      </c>
      <c r="AC111" s="8">
        <f t="shared" si="6"/>
        <v>38.27751196</v>
      </c>
      <c r="AD111" s="8">
        <f t="shared" si="7"/>
        <v>19.13875598</v>
      </c>
      <c r="AE111" s="8">
        <f t="shared" si="8"/>
        <v>0.3540669856</v>
      </c>
      <c r="AF111" s="8">
        <f t="shared" si="9"/>
        <v>285.7142857</v>
      </c>
      <c r="AG111" s="8">
        <f t="shared" si="10"/>
        <v>142.8571429</v>
      </c>
      <c r="AH111" s="8">
        <f t="shared" si="11"/>
        <v>2.642857143</v>
      </c>
      <c r="AI111" s="10">
        <f t="shared" si="12"/>
        <v>3.584229391</v>
      </c>
      <c r="AJ111" s="11">
        <f t="shared" si="13"/>
        <v>1.792114695</v>
      </c>
      <c r="AK111" s="12">
        <f t="shared" si="14"/>
        <v>0.03315412186</v>
      </c>
    </row>
    <row r="112">
      <c r="A112" s="4" t="s">
        <v>176</v>
      </c>
      <c r="B112" s="4" t="s">
        <v>159</v>
      </c>
      <c r="C112" s="4" t="s">
        <v>92</v>
      </c>
      <c r="D112" s="6">
        <v>3737.0</v>
      </c>
      <c r="E112" s="6">
        <v>889.0</v>
      </c>
      <c r="F112" s="6">
        <v>889.0</v>
      </c>
      <c r="G112" s="6">
        <v>3737.0</v>
      </c>
      <c r="H112" s="6">
        <v>36.0</v>
      </c>
      <c r="I112" s="6">
        <v>163.0</v>
      </c>
      <c r="J112" s="6">
        <v>2343.0</v>
      </c>
      <c r="K112" s="6">
        <v>185.0</v>
      </c>
      <c r="L112" s="4" t="s">
        <v>50</v>
      </c>
      <c r="M112" s="6">
        <v>8000.0</v>
      </c>
      <c r="N112" s="6">
        <v>4000.0</v>
      </c>
      <c r="O112" s="6">
        <v>2400.0</v>
      </c>
      <c r="P112" s="6">
        <v>2000.0</v>
      </c>
      <c r="Q112" s="6">
        <v>5.0</v>
      </c>
      <c r="R112" s="6">
        <v>24.0</v>
      </c>
      <c r="S112" s="7"/>
      <c r="T112" s="6">
        <v>74.0</v>
      </c>
      <c r="U112" s="6">
        <v>224.0</v>
      </c>
      <c r="V112" s="7"/>
      <c r="W112" s="7"/>
      <c r="X112" s="8">
        <f t="shared" si="1"/>
        <v>2</v>
      </c>
      <c r="Y112" s="9">
        <f t="shared" si="2"/>
        <v>6000</v>
      </c>
      <c r="Z112" s="8">
        <f t="shared" si="3"/>
        <v>4.49943757</v>
      </c>
      <c r="AA112" s="8">
        <f t="shared" si="4"/>
        <v>2.249718785</v>
      </c>
      <c r="AB112" s="8">
        <f t="shared" si="5"/>
        <v>0.08323959505</v>
      </c>
      <c r="AC112" s="8">
        <f t="shared" si="6"/>
        <v>24.5398773</v>
      </c>
      <c r="AD112" s="8">
        <f t="shared" si="7"/>
        <v>12.26993865</v>
      </c>
      <c r="AE112" s="8">
        <f t="shared" si="8"/>
        <v>0.4539877301</v>
      </c>
      <c r="AF112" s="8">
        <f t="shared" si="9"/>
        <v>111.1111111</v>
      </c>
      <c r="AG112" s="8">
        <f t="shared" si="10"/>
        <v>55.55555556</v>
      </c>
      <c r="AH112" s="8">
        <f t="shared" si="11"/>
        <v>2.055555556</v>
      </c>
      <c r="AI112" s="10">
        <f t="shared" si="12"/>
        <v>1.707212975</v>
      </c>
      <c r="AJ112" s="11">
        <f t="shared" si="13"/>
        <v>0.8536064874</v>
      </c>
      <c r="AK112" s="12">
        <f t="shared" si="14"/>
        <v>0.03158344003</v>
      </c>
    </row>
    <row r="113">
      <c r="A113" s="4" t="s">
        <v>177</v>
      </c>
      <c r="B113" s="4" t="s">
        <v>159</v>
      </c>
      <c r="C113" s="4" t="s">
        <v>82</v>
      </c>
      <c r="D113" s="6">
        <v>2275.0</v>
      </c>
      <c r="E113" s="6">
        <v>541.0</v>
      </c>
      <c r="F113" s="6">
        <v>541.0</v>
      </c>
      <c r="G113" s="6">
        <v>2275.0</v>
      </c>
      <c r="H113" s="6">
        <v>0.0</v>
      </c>
      <c r="I113" s="6">
        <v>99.0</v>
      </c>
      <c r="J113" s="6">
        <v>1426.0</v>
      </c>
      <c r="K113" s="6">
        <v>107.0</v>
      </c>
      <c r="L113" s="4" t="s">
        <v>50</v>
      </c>
      <c r="M113" s="6">
        <v>31000.0</v>
      </c>
      <c r="N113" s="6">
        <v>4000.0</v>
      </c>
      <c r="O113" s="6">
        <v>2420.0</v>
      </c>
      <c r="P113" s="6">
        <v>2000.0</v>
      </c>
      <c r="Q113" s="6">
        <v>6.0</v>
      </c>
      <c r="R113" s="6">
        <v>20.0</v>
      </c>
      <c r="S113" s="7"/>
      <c r="T113" s="6">
        <v>57.0</v>
      </c>
      <c r="U113" s="6">
        <v>299.0</v>
      </c>
      <c r="V113" s="7"/>
      <c r="W113" s="7"/>
      <c r="X113" s="8">
        <f t="shared" si="1"/>
        <v>2</v>
      </c>
      <c r="Y113" s="9">
        <f t="shared" si="2"/>
        <v>6000</v>
      </c>
      <c r="Z113" s="8">
        <f t="shared" si="3"/>
        <v>7.393715342</v>
      </c>
      <c r="AA113" s="8">
        <f t="shared" si="4"/>
        <v>3.696857671</v>
      </c>
      <c r="AB113" s="8">
        <f t="shared" si="5"/>
        <v>0.1053604436</v>
      </c>
      <c r="AC113" s="8">
        <f t="shared" si="6"/>
        <v>40.4040404</v>
      </c>
      <c r="AD113" s="8">
        <f t="shared" si="7"/>
        <v>20.2020202</v>
      </c>
      <c r="AE113" s="8">
        <f t="shared" si="8"/>
        <v>0.5757575758</v>
      </c>
      <c r="AF113" s="8" t="str">
        <f t="shared" si="9"/>
        <v>#DIV/0!</v>
      </c>
      <c r="AG113" s="8" t="str">
        <f t="shared" si="10"/>
        <v>#DIV/0!</v>
      </c>
      <c r="AH113" s="8" t="str">
        <f t="shared" si="11"/>
        <v>#DIV/0!</v>
      </c>
      <c r="AI113" s="10">
        <f t="shared" si="12"/>
        <v>2.805049088</v>
      </c>
      <c r="AJ113" s="11">
        <f t="shared" si="13"/>
        <v>1.402524544</v>
      </c>
      <c r="AK113" s="12">
        <f t="shared" si="14"/>
        <v>0.03997194951</v>
      </c>
    </row>
    <row r="114">
      <c r="A114" s="4" t="s">
        <v>178</v>
      </c>
      <c r="B114" s="4" t="s">
        <v>159</v>
      </c>
      <c r="C114" s="4" t="s">
        <v>82</v>
      </c>
      <c r="D114" s="6">
        <v>2809.0</v>
      </c>
      <c r="E114" s="6">
        <v>668.0</v>
      </c>
      <c r="F114" s="6">
        <v>668.0</v>
      </c>
      <c r="G114" s="6">
        <v>2809.0</v>
      </c>
      <c r="H114" s="6">
        <v>0.0</v>
      </c>
      <c r="I114" s="6">
        <v>122.0</v>
      </c>
      <c r="J114" s="6">
        <v>1761.0</v>
      </c>
      <c r="K114" s="6">
        <v>102.0</v>
      </c>
      <c r="L114" s="4" t="s">
        <v>50</v>
      </c>
      <c r="M114" s="6">
        <v>34000.0</v>
      </c>
      <c r="N114" s="6">
        <v>4000.0</v>
      </c>
      <c r="O114" s="6">
        <v>2420.0</v>
      </c>
      <c r="P114" s="6">
        <v>2000.0</v>
      </c>
      <c r="Q114" s="6">
        <v>4.0</v>
      </c>
      <c r="R114" s="6">
        <v>20.0</v>
      </c>
      <c r="S114" s="7"/>
      <c r="T114" s="6">
        <v>66.0</v>
      </c>
      <c r="U114" s="6">
        <v>299.0</v>
      </c>
      <c r="V114" s="7"/>
      <c r="W114" s="7"/>
      <c r="X114" s="8">
        <f t="shared" si="1"/>
        <v>2</v>
      </c>
      <c r="Y114" s="9">
        <f t="shared" si="2"/>
        <v>6000</v>
      </c>
      <c r="Z114" s="8">
        <f t="shared" si="3"/>
        <v>5.988023952</v>
      </c>
      <c r="AA114" s="8">
        <f t="shared" si="4"/>
        <v>2.994011976</v>
      </c>
      <c r="AB114" s="8">
        <f t="shared" si="5"/>
        <v>0.09880239521</v>
      </c>
      <c r="AC114" s="8">
        <f t="shared" si="6"/>
        <v>32.78688525</v>
      </c>
      <c r="AD114" s="8">
        <f t="shared" si="7"/>
        <v>16.39344262</v>
      </c>
      <c r="AE114" s="8">
        <f t="shared" si="8"/>
        <v>0.5409836066</v>
      </c>
      <c r="AF114" s="8" t="str">
        <f t="shared" si="9"/>
        <v>#DIV/0!</v>
      </c>
      <c r="AG114" s="8" t="str">
        <f t="shared" si="10"/>
        <v>#DIV/0!</v>
      </c>
      <c r="AH114" s="8" t="str">
        <f t="shared" si="11"/>
        <v>#DIV/0!</v>
      </c>
      <c r="AI114" s="10">
        <f t="shared" si="12"/>
        <v>2.271436684</v>
      </c>
      <c r="AJ114" s="11">
        <f t="shared" si="13"/>
        <v>1.135718342</v>
      </c>
      <c r="AK114" s="12">
        <f t="shared" si="14"/>
        <v>0.03747870528</v>
      </c>
    </row>
    <row r="115">
      <c r="A115" s="4" t="s">
        <v>179</v>
      </c>
      <c r="B115" s="4" t="s">
        <v>159</v>
      </c>
      <c r="C115" s="4" t="s">
        <v>82</v>
      </c>
      <c r="D115" s="6">
        <v>1878.0</v>
      </c>
      <c r="E115" s="6">
        <v>447.0</v>
      </c>
      <c r="F115" s="6">
        <v>447.0</v>
      </c>
      <c r="G115" s="6">
        <v>1878.0</v>
      </c>
      <c r="H115" s="6">
        <v>0.0</v>
      </c>
      <c r="I115" s="6">
        <v>82.0</v>
      </c>
      <c r="J115" s="6">
        <v>1177.0</v>
      </c>
      <c r="K115" s="6">
        <v>110.0</v>
      </c>
      <c r="L115" s="4" t="s">
        <v>50</v>
      </c>
      <c r="M115" s="6">
        <v>22000.0</v>
      </c>
      <c r="N115" s="6">
        <v>3000.0</v>
      </c>
      <c r="O115" s="6">
        <v>2420.0</v>
      </c>
      <c r="P115" s="6">
        <v>1000.0</v>
      </c>
      <c r="Q115" s="6">
        <v>5.0</v>
      </c>
      <c r="R115" s="6">
        <v>22.0</v>
      </c>
      <c r="S115" s="7"/>
      <c r="T115" s="6">
        <v>71.0</v>
      </c>
      <c r="U115" s="6">
        <v>299.0</v>
      </c>
      <c r="V115" s="7"/>
      <c r="W115" s="7"/>
      <c r="X115" s="8">
        <f t="shared" si="1"/>
        <v>3</v>
      </c>
      <c r="Y115" s="9">
        <f t="shared" si="2"/>
        <v>4000</v>
      </c>
      <c r="Z115" s="8">
        <f t="shared" si="3"/>
        <v>6.711409396</v>
      </c>
      <c r="AA115" s="8">
        <f t="shared" si="4"/>
        <v>2.237136465</v>
      </c>
      <c r="AB115" s="8">
        <f t="shared" si="5"/>
        <v>0.158836689</v>
      </c>
      <c r="AC115" s="8">
        <f t="shared" si="6"/>
        <v>36.58536585</v>
      </c>
      <c r="AD115" s="8">
        <f t="shared" si="7"/>
        <v>12.19512195</v>
      </c>
      <c r="AE115" s="8">
        <f t="shared" si="8"/>
        <v>0.8658536585</v>
      </c>
      <c r="AF115" s="8" t="str">
        <f t="shared" si="9"/>
        <v>#DIV/0!</v>
      </c>
      <c r="AG115" s="8" t="str">
        <f t="shared" si="10"/>
        <v>#DIV/0!</v>
      </c>
      <c r="AH115" s="8" t="str">
        <f t="shared" si="11"/>
        <v>#DIV/0!</v>
      </c>
      <c r="AI115" s="10">
        <f t="shared" si="12"/>
        <v>2.548853016</v>
      </c>
      <c r="AJ115" s="11">
        <f t="shared" si="13"/>
        <v>0.849617672</v>
      </c>
      <c r="AK115" s="12">
        <f t="shared" si="14"/>
        <v>0.06032285472</v>
      </c>
    </row>
    <row r="116">
      <c r="A116" s="4" t="s">
        <v>180</v>
      </c>
      <c r="B116" s="4" t="s">
        <v>159</v>
      </c>
      <c r="C116" s="4" t="s">
        <v>82</v>
      </c>
      <c r="D116" s="6">
        <v>1996.0</v>
      </c>
      <c r="E116" s="6">
        <v>474.0</v>
      </c>
      <c r="F116" s="6">
        <v>474.0</v>
      </c>
      <c r="G116" s="6">
        <v>1996.0</v>
      </c>
      <c r="H116" s="6">
        <v>0.0</v>
      </c>
      <c r="I116" s="6">
        <v>87.0</v>
      </c>
      <c r="J116" s="6">
        <v>1252.0</v>
      </c>
      <c r="K116" s="6">
        <v>116.0</v>
      </c>
      <c r="L116" s="4" t="s">
        <v>50</v>
      </c>
      <c r="M116" s="6">
        <v>24000.0</v>
      </c>
      <c r="N116" s="6">
        <v>3000.0</v>
      </c>
      <c r="O116" s="6">
        <v>2420.0</v>
      </c>
      <c r="P116" s="6">
        <v>2000.0</v>
      </c>
      <c r="Q116" s="6">
        <v>6.0</v>
      </c>
      <c r="R116" s="6">
        <v>20.0</v>
      </c>
      <c r="S116" s="7"/>
      <c r="T116" s="6">
        <v>62.0</v>
      </c>
      <c r="U116" s="6">
        <v>299.0</v>
      </c>
      <c r="V116" s="7"/>
      <c r="W116" s="7"/>
      <c r="X116" s="8">
        <f t="shared" si="1"/>
        <v>1.5</v>
      </c>
      <c r="Y116" s="9">
        <f t="shared" si="2"/>
        <v>5000</v>
      </c>
      <c r="Z116" s="8">
        <f t="shared" si="3"/>
        <v>6.329113924</v>
      </c>
      <c r="AA116" s="8">
        <f t="shared" si="4"/>
        <v>4.219409283</v>
      </c>
      <c r="AB116" s="8">
        <f t="shared" si="5"/>
        <v>0.1308016878</v>
      </c>
      <c r="AC116" s="8">
        <f t="shared" si="6"/>
        <v>34.48275862</v>
      </c>
      <c r="AD116" s="8">
        <f t="shared" si="7"/>
        <v>22.98850575</v>
      </c>
      <c r="AE116" s="8">
        <f t="shared" si="8"/>
        <v>0.7126436782</v>
      </c>
      <c r="AF116" s="8" t="str">
        <f t="shared" si="9"/>
        <v>#DIV/0!</v>
      </c>
      <c r="AG116" s="8" t="str">
        <f t="shared" si="10"/>
        <v>#DIV/0!</v>
      </c>
      <c r="AH116" s="8" t="str">
        <f t="shared" si="11"/>
        <v>#DIV/0!</v>
      </c>
      <c r="AI116" s="10">
        <f t="shared" si="12"/>
        <v>2.396166134</v>
      </c>
      <c r="AJ116" s="11">
        <f t="shared" si="13"/>
        <v>1.597444089</v>
      </c>
      <c r="AK116" s="12">
        <f t="shared" si="14"/>
        <v>0.04952076677</v>
      </c>
    </row>
    <row r="117">
      <c r="A117" s="4" t="s">
        <v>181</v>
      </c>
      <c r="B117" s="4" t="s">
        <v>159</v>
      </c>
      <c r="C117" s="4" t="s">
        <v>82</v>
      </c>
      <c r="D117" s="6">
        <v>2490.0</v>
      </c>
      <c r="E117" s="6">
        <v>593.0</v>
      </c>
      <c r="F117" s="6">
        <v>593.0</v>
      </c>
      <c r="G117" s="6">
        <v>2490.0</v>
      </c>
      <c r="H117" s="6">
        <v>0.0</v>
      </c>
      <c r="I117" s="6">
        <v>108.0</v>
      </c>
      <c r="J117" s="6">
        <v>1560.0</v>
      </c>
      <c r="K117" s="6">
        <v>116.0</v>
      </c>
      <c r="L117" s="4" t="s">
        <v>50</v>
      </c>
      <c r="M117" s="6">
        <v>25000.0</v>
      </c>
      <c r="N117" s="6">
        <v>3000.0</v>
      </c>
      <c r="O117" s="6">
        <v>2420.0</v>
      </c>
      <c r="P117" s="6">
        <v>2000.0</v>
      </c>
      <c r="Q117" s="6">
        <v>6.0</v>
      </c>
      <c r="R117" s="6">
        <v>22.0</v>
      </c>
      <c r="S117" s="7"/>
      <c r="T117" s="6">
        <v>59.0</v>
      </c>
      <c r="U117" s="6">
        <v>299.0</v>
      </c>
      <c r="V117" s="7"/>
      <c r="W117" s="7"/>
      <c r="X117" s="8">
        <f t="shared" si="1"/>
        <v>1.5</v>
      </c>
      <c r="Y117" s="9">
        <f t="shared" si="2"/>
        <v>5000</v>
      </c>
      <c r="Z117" s="8">
        <f t="shared" si="3"/>
        <v>5.059021922</v>
      </c>
      <c r="AA117" s="8">
        <f t="shared" si="4"/>
        <v>3.372681282</v>
      </c>
      <c r="AB117" s="8">
        <f t="shared" si="5"/>
        <v>0.09949409781</v>
      </c>
      <c r="AC117" s="8">
        <f t="shared" si="6"/>
        <v>27.77777778</v>
      </c>
      <c r="AD117" s="8">
        <f t="shared" si="7"/>
        <v>18.51851852</v>
      </c>
      <c r="AE117" s="8">
        <f t="shared" si="8"/>
        <v>0.5462962963</v>
      </c>
      <c r="AF117" s="8" t="str">
        <f t="shared" si="9"/>
        <v>#DIV/0!</v>
      </c>
      <c r="AG117" s="8" t="str">
        <f t="shared" si="10"/>
        <v>#DIV/0!</v>
      </c>
      <c r="AH117" s="8" t="str">
        <f t="shared" si="11"/>
        <v>#DIV/0!</v>
      </c>
      <c r="AI117" s="10">
        <f t="shared" si="12"/>
        <v>1.923076923</v>
      </c>
      <c r="AJ117" s="11">
        <f t="shared" si="13"/>
        <v>1.282051282</v>
      </c>
      <c r="AK117" s="12">
        <f t="shared" si="14"/>
        <v>0.03782051282</v>
      </c>
    </row>
    <row r="118">
      <c r="A118" s="4" t="s">
        <v>182</v>
      </c>
      <c r="B118" s="4" t="s">
        <v>159</v>
      </c>
      <c r="C118" s="4" t="s">
        <v>70</v>
      </c>
      <c r="D118" s="6">
        <v>2884.0</v>
      </c>
      <c r="E118" s="6">
        <v>1372.0</v>
      </c>
      <c r="F118" s="6">
        <v>686.0</v>
      </c>
      <c r="G118" s="6">
        <v>11536.0</v>
      </c>
      <c r="H118" s="6">
        <v>0.0</v>
      </c>
      <c r="I118" s="6">
        <v>188.0</v>
      </c>
      <c r="J118" s="6">
        <v>3617.0</v>
      </c>
      <c r="K118" s="6">
        <v>143.0</v>
      </c>
      <c r="L118" s="4" t="s">
        <v>50</v>
      </c>
      <c r="M118" s="6">
        <v>7000.0</v>
      </c>
      <c r="N118" s="6">
        <v>4000.0</v>
      </c>
      <c r="O118" s="6">
        <v>2400.0</v>
      </c>
      <c r="P118" s="6">
        <v>2000.0</v>
      </c>
      <c r="Q118" s="6">
        <v>4.0</v>
      </c>
      <c r="R118" s="6">
        <v>18.0</v>
      </c>
      <c r="S118" s="7"/>
      <c r="T118" s="6">
        <v>59.0</v>
      </c>
      <c r="U118" s="6">
        <v>299.0</v>
      </c>
      <c r="V118" s="7"/>
      <c r="W118" s="7"/>
      <c r="X118" s="8">
        <f t="shared" si="1"/>
        <v>2</v>
      </c>
      <c r="Y118" s="9">
        <f t="shared" si="2"/>
        <v>6000</v>
      </c>
      <c r="Z118" s="8">
        <f t="shared" si="3"/>
        <v>2.915451895</v>
      </c>
      <c r="AA118" s="8">
        <f t="shared" si="4"/>
        <v>1.457725948</v>
      </c>
      <c r="AB118" s="8">
        <f t="shared" si="5"/>
        <v>0.04300291545</v>
      </c>
      <c r="AC118" s="8">
        <f t="shared" si="6"/>
        <v>21.27659574</v>
      </c>
      <c r="AD118" s="8">
        <f t="shared" si="7"/>
        <v>10.63829787</v>
      </c>
      <c r="AE118" s="8">
        <f t="shared" si="8"/>
        <v>0.3138297872</v>
      </c>
      <c r="AF118" s="8" t="str">
        <f t="shared" si="9"/>
        <v>#DIV/0!</v>
      </c>
      <c r="AG118" s="8" t="str">
        <f t="shared" si="10"/>
        <v>#DIV/0!</v>
      </c>
      <c r="AH118" s="8" t="str">
        <f t="shared" si="11"/>
        <v>#DIV/0!</v>
      </c>
      <c r="AI118" s="10">
        <f t="shared" si="12"/>
        <v>1.105888858</v>
      </c>
      <c r="AJ118" s="11">
        <f t="shared" si="13"/>
        <v>0.5529444291</v>
      </c>
      <c r="AK118" s="12">
        <f t="shared" si="14"/>
        <v>0.01631186066</v>
      </c>
    </row>
    <row r="119">
      <c r="A119" s="4" t="s">
        <v>183</v>
      </c>
      <c r="B119" s="4" t="s">
        <v>159</v>
      </c>
      <c r="C119" s="4" t="s">
        <v>168</v>
      </c>
      <c r="D119" s="6">
        <v>728.0</v>
      </c>
      <c r="E119" s="6">
        <v>346.0</v>
      </c>
      <c r="F119" s="6">
        <v>692.0</v>
      </c>
      <c r="G119" s="6">
        <v>728.0</v>
      </c>
      <c r="H119" s="6">
        <v>0.0</v>
      </c>
      <c r="I119" s="6">
        <v>95.0</v>
      </c>
      <c r="J119" s="6">
        <v>912.0</v>
      </c>
      <c r="K119" s="6">
        <v>143.0</v>
      </c>
      <c r="L119" s="4" t="s">
        <v>50</v>
      </c>
      <c r="M119" s="6">
        <v>10000.0</v>
      </c>
      <c r="N119" s="6">
        <v>10000.0</v>
      </c>
      <c r="O119" s="6">
        <v>5800.0</v>
      </c>
      <c r="P119" s="6">
        <v>5000.0</v>
      </c>
      <c r="Q119" s="6">
        <v>2.0</v>
      </c>
      <c r="R119" s="6">
        <v>14.0</v>
      </c>
      <c r="S119" s="7"/>
      <c r="T119" s="6">
        <v>65.0</v>
      </c>
      <c r="U119" s="6">
        <v>299.0</v>
      </c>
      <c r="V119" s="7"/>
      <c r="W119" s="7"/>
      <c r="X119" s="8">
        <f t="shared" si="1"/>
        <v>2</v>
      </c>
      <c r="Y119" s="9">
        <f t="shared" si="2"/>
        <v>15000</v>
      </c>
      <c r="Z119" s="8">
        <f t="shared" si="3"/>
        <v>28.9017341</v>
      </c>
      <c r="AA119" s="8">
        <f t="shared" si="4"/>
        <v>14.45086705</v>
      </c>
      <c r="AB119" s="8">
        <f t="shared" si="5"/>
        <v>0.1878612717</v>
      </c>
      <c r="AC119" s="8">
        <f t="shared" si="6"/>
        <v>105.2631579</v>
      </c>
      <c r="AD119" s="8">
        <f t="shared" si="7"/>
        <v>52.63157895</v>
      </c>
      <c r="AE119" s="8">
        <f t="shared" si="8"/>
        <v>0.6842105263</v>
      </c>
      <c r="AF119" s="8" t="str">
        <f t="shared" si="9"/>
        <v>#DIV/0!</v>
      </c>
      <c r="AG119" s="8" t="str">
        <f t="shared" si="10"/>
        <v>#DIV/0!</v>
      </c>
      <c r="AH119" s="8" t="str">
        <f t="shared" si="11"/>
        <v>#DIV/0!</v>
      </c>
      <c r="AI119" s="10">
        <f t="shared" si="12"/>
        <v>10.96491228</v>
      </c>
      <c r="AJ119" s="11">
        <f t="shared" si="13"/>
        <v>5.48245614</v>
      </c>
      <c r="AK119" s="12">
        <f t="shared" si="14"/>
        <v>0.07127192982</v>
      </c>
    </row>
    <row r="120">
      <c r="A120" s="4" t="s">
        <v>184</v>
      </c>
      <c r="B120" s="4" t="s">
        <v>159</v>
      </c>
      <c r="C120" s="4" t="s">
        <v>91</v>
      </c>
      <c r="D120" s="6">
        <v>2973.0</v>
      </c>
      <c r="E120" s="6">
        <v>707.0</v>
      </c>
      <c r="F120" s="6">
        <v>707.0</v>
      </c>
      <c r="G120" s="6">
        <v>2973.0</v>
      </c>
      <c r="H120" s="6">
        <v>22.0</v>
      </c>
      <c r="I120" s="6">
        <v>129.0</v>
      </c>
      <c r="J120" s="6">
        <v>1863.0</v>
      </c>
      <c r="K120" s="6">
        <v>128.0</v>
      </c>
      <c r="L120" s="4" t="s">
        <v>50</v>
      </c>
      <c r="M120" s="6">
        <v>9000.0</v>
      </c>
      <c r="N120" s="6">
        <v>2000.0</v>
      </c>
      <c r="O120" s="6">
        <v>1200.0</v>
      </c>
      <c r="P120" s="6">
        <v>2000.0</v>
      </c>
      <c r="Q120" s="6">
        <v>6.0</v>
      </c>
      <c r="R120" s="6">
        <v>22.0</v>
      </c>
      <c r="S120" s="7"/>
      <c r="T120" s="6">
        <v>67.0</v>
      </c>
      <c r="U120" s="6">
        <v>299.0</v>
      </c>
      <c r="V120" s="7"/>
      <c r="W120" s="7"/>
      <c r="X120" s="8">
        <f t="shared" si="1"/>
        <v>1</v>
      </c>
      <c r="Y120" s="9">
        <f t="shared" si="2"/>
        <v>4000</v>
      </c>
      <c r="Z120" s="8">
        <f t="shared" si="3"/>
        <v>2.828854314</v>
      </c>
      <c r="AA120" s="8">
        <f t="shared" si="4"/>
        <v>2.828854314</v>
      </c>
      <c r="AB120" s="8">
        <f t="shared" si="5"/>
        <v>0.09476661952</v>
      </c>
      <c r="AC120" s="8">
        <f t="shared" si="6"/>
        <v>15.50387597</v>
      </c>
      <c r="AD120" s="8">
        <f t="shared" si="7"/>
        <v>15.50387597</v>
      </c>
      <c r="AE120" s="8">
        <f t="shared" si="8"/>
        <v>0.519379845</v>
      </c>
      <c r="AF120" s="8">
        <f t="shared" si="9"/>
        <v>90.90909091</v>
      </c>
      <c r="AG120" s="8">
        <f t="shared" si="10"/>
        <v>90.90909091</v>
      </c>
      <c r="AH120" s="8">
        <f t="shared" si="11"/>
        <v>3.045454545</v>
      </c>
      <c r="AI120" s="10">
        <f t="shared" si="12"/>
        <v>1.073537305</v>
      </c>
      <c r="AJ120" s="11">
        <f t="shared" si="13"/>
        <v>1.073537305</v>
      </c>
      <c r="AK120" s="12">
        <f t="shared" si="14"/>
        <v>0.03596349973</v>
      </c>
    </row>
    <row r="121">
      <c r="A121" s="4" t="s">
        <v>185</v>
      </c>
      <c r="B121" s="4" t="s">
        <v>159</v>
      </c>
      <c r="C121" s="4" t="s">
        <v>64</v>
      </c>
      <c r="D121" s="6">
        <v>6979.0</v>
      </c>
      <c r="E121" s="6">
        <v>1661.0</v>
      </c>
      <c r="F121" s="6">
        <v>1661.0</v>
      </c>
      <c r="G121" s="6">
        <v>6979.0</v>
      </c>
      <c r="H121" s="6">
        <v>40.0</v>
      </c>
      <c r="I121" s="6">
        <v>304.0</v>
      </c>
      <c r="J121" s="6">
        <v>4378.0</v>
      </c>
      <c r="K121" s="6">
        <v>126.0</v>
      </c>
      <c r="L121" s="4" t="s">
        <v>50</v>
      </c>
      <c r="M121" s="6">
        <v>21000.0</v>
      </c>
      <c r="N121" s="6">
        <v>14000.0</v>
      </c>
      <c r="O121" s="6">
        <v>5700.0</v>
      </c>
      <c r="P121" s="6">
        <v>7000.0</v>
      </c>
      <c r="Q121" s="6">
        <v>5.0</v>
      </c>
      <c r="R121" s="6">
        <v>22.0</v>
      </c>
      <c r="S121" s="7"/>
      <c r="T121" s="6">
        <v>67.0</v>
      </c>
      <c r="U121" s="6">
        <v>262.0</v>
      </c>
      <c r="V121" s="7"/>
      <c r="W121" s="7"/>
      <c r="X121" s="8">
        <f t="shared" si="1"/>
        <v>2</v>
      </c>
      <c r="Y121" s="9">
        <f t="shared" si="2"/>
        <v>21000</v>
      </c>
      <c r="Z121" s="8">
        <f t="shared" si="3"/>
        <v>8.428657435</v>
      </c>
      <c r="AA121" s="8">
        <f t="shared" si="4"/>
        <v>4.214328718</v>
      </c>
      <c r="AB121" s="8">
        <f t="shared" si="5"/>
        <v>0.0403371463</v>
      </c>
      <c r="AC121" s="8">
        <f t="shared" si="6"/>
        <v>46.05263158</v>
      </c>
      <c r="AD121" s="8">
        <f t="shared" si="7"/>
        <v>23.02631579</v>
      </c>
      <c r="AE121" s="8">
        <f t="shared" si="8"/>
        <v>0.2203947368</v>
      </c>
      <c r="AF121" s="8">
        <f t="shared" si="9"/>
        <v>350</v>
      </c>
      <c r="AG121" s="8">
        <f t="shared" si="10"/>
        <v>175</v>
      </c>
      <c r="AH121" s="8">
        <f t="shared" si="11"/>
        <v>1.675</v>
      </c>
      <c r="AI121" s="10">
        <f t="shared" si="12"/>
        <v>3.197807218</v>
      </c>
      <c r="AJ121" s="11">
        <f t="shared" si="13"/>
        <v>1.598903609</v>
      </c>
      <c r="AK121" s="12">
        <f t="shared" si="14"/>
        <v>0.01530379169</v>
      </c>
    </row>
    <row r="122">
      <c r="A122" s="4" t="s">
        <v>186</v>
      </c>
      <c r="B122" s="4" t="s">
        <v>159</v>
      </c>
      <c r="C122" s="4" t="s">
        <v>56</v>
      </c>
      <c r="D122" s="6">
        <v>4993.0</v>
      </c>
      <c r="E122" s="6">
        <v>1188.0</v>
      </c>
      <c r="F122" s="6">
        <v>1188.0</v>
      </c>
      <c r="G122" s="6">
        <v>4993.0</v>
      </c>
      <c r="H122" s="6">
        <v>40.0</v>
      </c>
      <c r="I122" s="6">
        <v>224.0</v>
      </c>
      <c r="J122" s="6">
        <v>3227.0</v>
      </c>
      <c r="K122" s="6">
        <v>134.0</v>
      </c>
      <c r="L122" s="4" t="s">
        <v>50</v>
      </c>
      <c r="M122" s="6">
        <v>13000.0</v>
      </c>
      <c r="N122" s="6">
        <v>8000.0</v>
      </c>
      <c r="O122" s="6">
        <v>2500.0</v>
      </c>
      <c r="P122" s="6">
        <v>4000.0</v>
      </c>
      <c r="Q122" s="6">
        <v>5.0</v>
      </c>
      <c r="R122" s="6">
        <v>18.0</v>
      </c>
      <c r="S122" s="7"/>
      <c r="T122" s="6">
        <v>55.0</v>
      </c>
      <c r="U122" s="6">
        <v>449.0</v>
      </c>
      <c r="V122" s="7"/>
      <c r="W122" s="7"/>
      <c r="X122" s="8">
        <f t="shared" si="1"/>
        <v>2</v>
      </c>
      <c r="Y122" s="9">
        <f t="shared" si="2"/>
        <v>12000</v>
      </c>
      <c r="Z122" s="8">
        <f t="shared" si="3"/>
        <v>6.734006734</v>
      </c>
      <c r="AA122" s="8">
        <f t="shared" si="4"/>
        <v>3.367003367</v>
      </c>
      <c r="AB122" s="8">
        <f t="shared" si="5"/>
        <v>0.0462962963</v>
      </c>
      <c r="AC122" s="8">
        <f t="shared" si="6"/>
        <v>35.71428571</v>
      </c>
      <c r="AD122" s="8">
        <f t="shared" si="7"/>
        <v>17.85714286</v>
      </c>
      <c r="AE122" s="8">
        <f t="shared" si="8"/>
        <v>0.2455357143</v>
      </c>
      <c r="AF122" s="8">
        <f t="shared" si="9"/>
        <v>200</v>
      </c>
      <c r="AG122" s="8">
        <f t="shared" si="10"/>
        <v>100</v>
      </c>
      <c r="AH122" s="8">
        <f t="shared" si="11"/>
        <v>1.375</v>
      </c>
      <c r="AI122" s="10">
        <f t="shared" si="12"/>
        <v>2.479082739</v>
      </c>
      <c r="AJ122" s="11">
        <f t="shared" si="13"/>
        <v>1.23954137</v>
      </c>
      <c r="AK122" s="12">
        <f t="shared" si="14"/>
        <v>0.01704369383</v>
      </c>
    </row>
    <row r="123">
      <c r="A123" s="4" t="s">
        <v>187</v>
      </c>
      <c r="B123" s="4" t="s">
        <v>159</v>
      </c>
      <c r="C123" s="4" t="s">
        <v>92</v>
      </c>
      <c r="D123" s="6">
        <v>5356.0</v>
      </c>
      <c r="E123" s="6">
        <v>1275.0</v>
      </c>
      <c r="F123" s="6">
        <v>1275.0</v>
      </c>
      <c r="G123" s="6">
        <v>5356.0</v>
      </c>
      <c r="H123" s="6">
        <v>58.0</v>
      </c>
      <c r="I123" s="6">
        <v>233.0</v>
      </c>
      <c r="J123" s="6">
        <v>3358.0</v>
      </c>
      <c r="K123" s="6">
        <v>105.0</v>
      </c>
      <c r="L123" s="4" t="s">
        <v>50</v>
      </c>
      <c r="M123" s="6">
        <v>14000.0</v>
      </c>
      <c r="N123" s="6">
        <v>8000.0</v>
      </c>
      <c r="O123" s="6">
        <v>3600.0</v>
      </c>
      <c r="P123" s="6">
        <v>4000.0</v>
      </c>
      <c r="Q123" s="6">
        <v>5.0</v>
      </c>
      <c r="R123" s="6">
        <v>26.0</v>
      </c>
      <c r="S123" s="7"/>
      <c r="T123" s="6">
        <v>80.0</v>
      </c>
      <c r="U123" s="6">
        <v>449.0</v>
      </c>
      <c r="V123" s="7"/>
      <c r="W123" s="7"/>
      <c r="X123" s="8">
        <f t="shared" si="1"/>
        <v>2</v>
      </c>
      <c r="Y123" s="9">
        <f t="shared" si="2"/>
        <v>12000</v>
      </c>
      <c r="Z123" s="8">
        <f t="shared" si="3"/>
        <v>6.274509804</v>
      </c>
      <c r="AA123" s="8">
        <f t="shared" si="4"/>
        <v>3.137254902</v>
      </c>
      <c r="AB123" s="8">
        <f t="shared" si="5"/>
        <v>0.06274509804</v>
      </c>
      <c r="AC123" s="8">
        <f t="shared" si="6"/>
        <v>34.33476395</v>
      </c>
      <c r="AD123" s="8">
        <f t="shared" si="7"/>
        <v>17.16738197</v>
      </c>
      <c r="AE123" s="8">
        <f t="shared" si="8"/>
        <v>0.3433476395</v>
      </c>
      <c r="AF123" s="8">
        <f t="shared" si="9"/>
        <v>137.9310345</v>
      </c>
      <c r="AG123" s="8">
        <f t="shared" si="10"/>
        <v>68.96551724</v>
      </c>
      <c r="AH123" s="8">
        <f t="shared" si="11"/>
        <v>1.379310345</v>
      </c>
      <c r="AI123" s="10">
        <f t="shared" si="12"/>
        <v>2.382370459</v>
      </c>
      <c r="AJ123" s="11">
        <f t="shared" si="13"/>
        <v>1.191185229</v>
      </c>
      <c r="AK123" s="12">
        <f t="shared" si="14"/>
        <v>0.02382370459</v>
      </c>
    </row>
    <row r="124">
      <c r="A124" s="4" t="s">
        <v>188</v>
      </c>
      <c r="B124" s="4" t="s">
        <v>159</v>
      </c>
      <c r="C124" s="4" t="s">
        <v>49</v>
      </c>
      <c r="D124" s="6">
        <v>4556.0</v>
      </c>
      <c r="E124" s="6">
        <v>1084.0</v>
      </c>
      <c r="F124" s="6">
        <v>1084.0</v>
      </c>
      <c r="G124" s="6">
        <v>4556.0</v>
      </c>
      <c r="H124" s="6">
        <v>11.0</v>
      </c>
      <c r="I124" s="6">
        <v>198.0</v>
      </c>
      <c r="J124" s="6">
        <v>2856.0</v>
      </c>
      <c r="K124" s="6">
        <v>143.0</v>
      </c>
      <c r="L124" s="4" t="s">
        <v>50</v>
      </c>
      <c r="M124" s="6">
        <v>5000.0</v>
      </c>
      <c r="N124" s="6">
        <v>4000.0</v>
      </c>
      <c r="O124" s="6">
        <v>2850.0</v>
      </c>
      <c r="P124" s="6">
        <v>925.0</v>
      </c>
      <c r="Q124" s="6">
        <v>4.0</v>
      </c>
      <c r="R124" s="6">
        <v>16.0</v>
      </c>
      <c r="S124" s="7"/>
      <c r="T124" s="6">
        <v>74.0</v>
      </c>
      <c r="U124" s="6">
        <v>299.0</v>
      </c>
      <c r="V124" s="7"/>
      <c r="W124" s="7"/>
      <c r="X124" s="8">
        <f t="shared" si="1"/>
        <v>4.324324324</v>
      </c>
      <c r="Y124" s="9">
        <f t="shared" si="2"/>
        <v>4925</v>
      </c>
      <c r="Z124" s="8">
        <f t="shared" si="3"/>
        <v>3.6900369</v>
      </c>
      <c r="AA124" s="8">
        <f t="shared" si="4"/>
        <v>0.8533210332</v>
      </c>
      <c r="AB124" s="8">
        <f t="shared" si="5"/>
        <v>0.06826568266</v>
      </c>
      <c r="AC124" s="8">
        <f t="shared" si="6"/>
        <v>20.2020202</v>
      </c>
      <c r="AD124" s="8">
        <f t="shared" si="7"/>
        <v>4.671717172</v>
      </c>
      <c r="AE124" s="8">
        <f t="shared" si="8"/>
        <v>0.3737373737</v>
      </c>
      <c r="AF124" s="8">
        <f t="shared" si="9"/>
        <v>363.6363636</v>
      </c>
      <c r="AG124" s="8">
        <f t="shared" si="10"/>
        <v>84.09090909</v>
      </c>
      <c r="AH124" s="8">
        <f t="shared" si="11"/>
        <v>6.727272727</v>
      </c>
      <c r="AI124" s="10">
        <f t="shared" si="12"/>
        <v>1.400560224</v>
      </c>
      <c r="AJ124" s="11">
        <f t="shared" si="13"/>
        <v>0.3238795518</v>
      </c>
      <c r="AK124" s="12">
        <f t="shared" si="14"/>
        <v>0.02591036415</v>
      </c>
    </row>
    <row r="125">
      <c r="A125" s="4" t="s">
        <v>189</v>
      </c>
      <c r="B125" s="5" t="s">
        <v>190</v>
      </c>
      <c r="C125" s="4" t="s">
        <v>60</v>
      </c>
      <c r="D125" s="6">
        <v>3064.0</v>
      </c>
      <c r="E125" s="6">
        <v>728.0</v>
      </c>
      <c r="F125" s="6">
        <v>728.0</v>
      </c>
      <c r="G125" s="6">
        <v>3064.0</v>
      </c>
      <c r="H125" s="6">
        <v>8.0</v>
      </c>
      <c r="I125" s="6">
        <v>129.0</v>
      </c>
      <c r="J125" s="6">
        <v>1864.0</v>
      </c>
      <c r="K125" s="6">
        <v>126.0</v>
      </c>
      <c r="L125" s="4" t="s">
        <v>50</v>
      </c>
      <c r="M125" s="6">
        <v>5000.0</v>
      </c>
      <c r="N125" s="6">
        <v>3000.0</v>
      </c>
      <c r="O125" s="6">
        <v>1900.0</v>
      </c>
      <c r="P125" s="6">
        <v>913.0</v>
      </c>
      <c r="Q125" s="6">
        <v>4.0</v>
      </c>
      <c r="R125" s="6">
        <v>20.0</v>
      </c>
      <c r="S125" s="7"/>
      <c r="T125" s="6">
        <v>29.0</v>
      </c>
      <c r="U125" s="6">
        <v>337.0</v>
      </c>
      <c r="V125" s="7"/>
      <c r="W125" s="5">
        <v>24.0</v>
      </c>
      <c r="X125" s="8">
        <f t="shared" si="1"/>
        <v>3.285870756</v>
      </c>
      <c r="Y125" s="9">
        <f t="shared" si="2"/>
        <v>3913</v>
      </c>
      <c r="Z125" s="8">
        <f t="shared" si="3"/>
        <v>4.120879121</v>
      </c>
      <c r="AA125" s="8">
        <f t="shared" si="4"/>
        <v>1.254120879</v>
      </c>
      <c r="AB125" s="8">
        <f t="shared" si="5"/>
        <v>0.03983516484</v>
      </c>
      <c r="AC125" s="8">
        <f t="shared" si="6"/>
        <v>23.25581395</v>
      </c>
      <c r="AD125" s="8">
        <f t="shared" si="7"/>
        <v>7.07751938</v>
      </c>
      <c r="AE125" s="8">
        <f t="shared" si="8"/>
        <v>0.2248062016</v>
      </c>
      <c r="AF125" s="8">
        <f t="shared" si="9"/>
        <v>375</v>
      </c>
      <c r="AG125" s="8">
        <f t="shared" si="10"/>
        <v>114.125</v>
      </c>
      <c r="AH125" s="8">
        <f t="shared" si="11"/>
        <v>3.625</v>
      </c>
      <c r="AI125" s="10">
        <f t="shared" si="12"/>
        <v>1.60944206</v>
      </c>
      <c r="AJ125" s="11">
        <f t="shared" si="13"/>
        <v>0.489806867</v>
      </c>
      <c r="AK125" s="12">
        <f t="shared" si="14"/>
        <v>0.01555793991</v>
      </c>
    </row>
    <row r="126">
      <c r="A126" s="4" t="s">
        <v>191</v>
      </c>
      <c r="B126" s="5" t="s">
        <v>190</v>
      </c>
      <c r="C126" s="4" t="s">
        <v>73</v>
      </c>
      <c r="D126" s="6">
        <v>4591.0</v>
      </c>
      <c r="E126" s="6">
        <v>1092.0</v>
      </c>
      <c r="F126" s="6">
        <v>1092.0</v>
      </c>
      <c r="G126" s="6">
        <v>4591.0</v>
      </c>
      <c r="H126" s="6">
        <v>26.0</v>
      </c>
      <c r="I126" s="6">
        <v>200.0</v>
      </c>
      <c r="J126" s="6">
        <v>2131.0</v>
      </c>
      <c r="K126" s="6">
        <v>115.0</v>
      </c>
      <c r="L126" s="4" t="s">
        <v>50</v>
      </c>
      <c r="M126" s="6">
        <v>11000.0</v>
      </c>
      <c r="N126" s="6">
        <v>8000.0</v>
      </c>
      <c r="O126" s="6">
        <v>2500.0</v>
      </c>
      <c r="P126" s="6">
        <v>4000.0</v>
      </c>
      <c r="Q126" s="6">
        <v>5.0</v>
      </c>
      <c r="R126" s="6">
        <v>18.0</v>
      </c>
      <c r="S126" s="7"/>
      <c r="T126" s="6">
        <v>55.0</v>
      </c>
      <c r="U126" s="6">
        <v>375.0</v>
      </c>
      <c r="V126" s="5">
        <v>6.0</v>
      </c>
      <c r="W126" s="7"/>
      <c r="X126" s="8">
        <f t="shared" si="1"/>
        <v>2</v>
      </c>
      <c r="Y126" s="9">
        <f t="shared" si="2"/>
        <v>12000</v>
      </c>
      <c r="Z126" s="8">
        <f t="shared" si="3"/>
        <v>7.326007326</v>
      </c>
      <c r="AA126" s="8">
        <f t="shared" si="4"/>
        <v>3.663003663</v>
      </c>
      <c r="AB126" s="8">
        <f t="shared" si="5"/>
        <v>0.05036630037</v>
      </c>
      <c r="AC126" s="8">
        <f t="shared" si="6"/>
        <v>40</v>
      </c>
      <c r="AD126" s="8">
        <f t="shared" si="7"/>
        <v>20</v>
      </c>
      <c r="AE126" s="8">
        <f t="shared" si="8"/>
        <v>0.275</v>
      </c>
      <c r="AF126" s="8">
        <f t="shared" si="9"/>
        <v>307.6923077</v>
      </c>
      <c r="AG126" s="8">
        <f t="shared" si="10"/>
        <v>153.8461538</v>
      </c>
      <c r="AH126" s="8">
        <f t="shared" si="11"/>
        <v>2.115384615</v>
      </c>
      <c r="AI126" s="10">
        <f t="shared" si="12"/>
        <v>3.754106053</v>
      </c>
      <c r="AJ126" s="11">
        <f t="shared" si="13"/>
        <v>1.877053027</v>
      </c>
      <c r="AK126" s="12">
        <f t="shared" si="14"/>
        <v>0.02580947912</v>
      </c>
    </row>
    <row r="127">
      <c r="A127" s="4" t="s">
        <v>192</v>
      </c>
      <c r="B127" s="5" t="s">
        <v>190</v>
      </c>
      <c r="C127" s="4" t="s">
        <v>60</v>
      </c>
      <c r="D127" s="6">
        <v>4774.0</v>
      </c>
      <c r="E127" s="6">
        <v>1136.0</v>
      </c>
      <c r="F127" s="6">
        <v>1136.0</v>
      </c>
      <c r="G127" s="6">
        <v>4774.0</v>
      </c>
      <c r="H127" s="6">
        <v>20.0</v>
      </c>
      <c r="I127" s="6">
        <v>202.0</v>
      </c>
      <c r="J127" s="6">
        <v>2906.0</v>
      </c>
      <c r="K127" s="6">
        <v>201.0</v>
      </c>
      <c r="L127" s="4" t="s">
        <v>50</v>
      </c>
      <c r="M127" s="6">
        <v>11000.0</v>
      </c>
      <c r="N127" s="6">
        <v>6000.0</v>
      </c>
      <c r="O127" s="6">
        <v>2200.0</v>
      </c>
      <c r="P127" s="6">
        <v>4000.0</v>
      </c>
      <c r="Q127" s="6">
        <v>5.0</v>
      </c>
      <c r="R127" s="6">
        <v>18.0</v>
      </c>
      <c r="S127" s="7"/>
      <c r="T127" s="6">
        <v>55.0</v>
      </c>
      <c r="U127" s="6">
        <v>187.0</v>
      </c>
      <c r="V127" s="5">
        <v>6.0</v>
      </c>
      <c r="W127" s="7"/>
      <c r="X127" s="8">
        <f t="shared" si="1"/>
        <v>1.5</v>
      </c>
      <c r="Y127" s="9">
        <f t="shared" si="2"/>
        <v>10000</v>
      </c>
      <c r="Z127" s="8">
        <f t="shared" si="3"/>
        <v>5.281690141</v>
      </c>
      <c r="AA127" s="8">
        <f t="shared" si="4"/>
        <v>3.521126761</v>
      </c>
      <c r="AB127" s="8">
        <f t="shared" si="5"/>
        <v>0.04841549296</v>
      </c>
      <c r="AC127" s="8">
        <f t="shared" si="6"/>
        <v>29.7029703</v>
      </c>
      <c r="AD127" s="8">
        <f t="shared" si="7"/>
        <v>19.8019802</v>
      </c>
      <c r="AE127" s="8">
        <f t="shared" si="8"/>
        <v>0.2722772277</v>
      </c>
      <c r="AF127" s="8">
        <f t="shared" si="9"/>
        <v>300</v>
      </c>
      <c r="AG127" s="8">
        <f t="shared" si="10"/>
        <v>200</v>
      </c>
      <c r="AH127" s="8">
        <f t="shared" si="11"/>
        <v>2.75</v>
      </c>
      <c r="AI127" s="10">
        <f t="shared" si="12"/>
        <v>2.064693737</v>
      </c>
      <c r="AJ127" s="11">
        <f t="shared" si="13"/>
        <v>1.376462491</v>
      </c>
      <c r="AK127" s="12">
        <f t="shared" si="14"/>
        <v>0.01892635926</v>
      </c>
    </row>
    <row r="128">
      <c r="A128" s="4" t="s">
        <v>193</v>
      </c>
      <c r="B128" s="5" t="s">
        <v>190</v>
      </c>
      <c r="C128" s="4" t="s">
        <v>73</v>
      </c>
      <c r="D128" s="6">
        <v>2985.0</v>
      </c>
      <c r="E128" s="6">
        <v>709.0</v>
      </c>
      <c r="F128" s="6">
        <v>709.0</v>
      </c>
      <c r="G128" s="6">
        <v>2985.0</v>
      </c>
      <c r="H128" s="6">
        <v>7.0</v>
      </c>
      <c r="I128" s="6">
        <v>130.0</v>
      </c>
      <c r="J128" s="6">
        <v>1387.0</v>
      </c>
      <c r="K128" s="6">
        <v>164.0</v>
      </c>
      <c r="L128" s="4" t="s">
        <v>50</v>
      </c>
      <c r="M128" s="6">
        <v>3000.0</v>
      </c>
      <c r="N128" s="6">
        <v>4000.0</v>
      </c>
      <c r="O128" s="6">
        <v>1700.0</v>
      </c>
      <c r="P128" s="6">
        <v>846.0</v>
      </c>
      <c r="Q128" s="6">
        <v>4.0</v>
      </c>
      <c r="R128" s="6">
        <v>14.0</v>
      </c>
      <c r="S128" s="7"/>
      <c r="T128" s="6">
        <v>40.0</v>
      </c>
      <c r="U128" s="6">
        <v>262.0</v>
      </c>
      <c r="V128" s="7"/>
      <c r="W128" s="5">
        <v>24.0</v>
      </c>
      <c r="X128" s="8">
        <f t="shared" si="1"/>
        <v>4.728132388</v>
      </c>
      <c r="Y128" s="9">
        <f t="shared" si="2"/>
        <v>4846</v>
      </c>
      <c r="Z128" s="8">
        <f t="shared" si="3"/>
        <v>5.641748942</v>
      </c>
      <c r="AA128" s="8">
        <f t="shared" si="4"/>
        <v>1.193229901</v>
      </c>
      <c r="AB128" s="8">
        <f t="shared" si="5"/>
        <v>0.05641748942</v>
      </c>
      <c r="AC128" s="8">
        <f t="shared" si="6"/>
        <v>30.76923077</v>
      </c>
      <c r="AD128" s="8">
        <f t="shared" si="7"/>
        <v>6.507692308</v>
      </c>
      <c r="AE128" s="8">
        <f t="shared" si="8"/>
        <v>0.3076923077</v>
      </c>
      <c r="AF128" s="8">
        <f t="shared" si="9"/>
        <v>571.4285714</v>
      </c>
      <c r="AG128" s="8">
        <f t="shared" si="10"/>
        <v>120.8571429</v>
      </c>
      <c r="AH128" s="8">
        <f t="shared" si="11"/>
        <v>5.714285714</v>
      </c>
      <c r="AI128" s="10">
        <f t="shared" si="12"/>
        <v>2.883922134</v>
      </c>
      <c r="AJ128" s="11">
        <f t="shared" si="13"/>
        <v>0.6099495314</v>
      </c>
      <c r="AK128" s="12">
        <f t="shared" si="14"/>
        <v>0.02883922134</v>
      </c>
    </row>
    <row r="129">
      <c r="A129" s="4" t="s">
        <v>194</v>
      </c>
      <c r="B129" s="5" t="s">
        <v>190</v>
      </c>
      <c r="C129" s="4" t="s">
        <v>70</v>
      </c>
      <c r="D129" s="6">
        <v>4580.0</v>
      </c>
      <c r="E129" s="6">
        <v>2180.0</v>
      </c>
      <c r="F129" s="6">
        <v>1090.0</v>
      </c>
      <c r="G129" s="6">
        <v>18320.0</v>
      </c>
      <c r="H129" s="6">
        <v>0.0</v>
      </c>
      <c r="I129" s="6">
        <v>300.0</v>
      </c>
      <c r="J129" s="6">
        <v>5744.0</v>
      </c>
      <c r="K129" s="6">
        <v>128.0</v>
      </c>
      <c r="L129" s="4" t="s">
        <v>50</v>
      </c>
      <c r="M129" s="6">
        <v>15000.0</v>
      </c>
      <c r="N129" s="6">
        <v>4000.0</v>
      </c>
      <c r="O129" s="6">
        <v>2740.0</v>
      </c>
      <c r="P129" s="6">
        <v>1000.0</v>
      </c>
      <c r="Q129" s="6">
        <v>6.0</v>
      </c>
      <c r="R129" s="6">
        <v>22.0</v>
      </c>
      <c r="S129" s="7"/>
      <c r="T129" s="6">
        <v>48.0</v>
      </c>
      <c r="U129" s="6">
        <v>229.0</v>
      </c>
      <c r="V129" s="5">
        <v>8.0</v>
      </c>
      <c r="W129" s="7"/>
      <c r="X129" s="8">
        <f t="shared" si="1"/>
        <v>4</v>
      </c>
      <c r="Y129" s="9">
        <f t="shared" si="2"/>
        <v>5000</v>
      </c>
      <c r="Z129" s="8">
        <f t="shared" si="3"/>
        <v>1.834862385</v>
      </c>
      <c r="AA129" s="8">
        <f t="shared" si="4"/>
        <v>0.4587155963</v>
      </c>
      <c r="AB129" s="8">
        <f t="shared" si="5"/>
        <v>0.02201834862</v>
      </c>
      <c r="AC129" s="8">
        <f t="shared" si="6"/>
        <v>13.33333333</v>
      </c>
      <c r="AD129" s="8">
        <f t="shared" si="7"/>
        <v>3.333333333</v>
      </c>
      <c r="AE129" s="8">
        <f t="shared" si="8"/>
        <v>0.16</v>
      </c>
      <c r="AF129" s="8" t="str">
        <f t="shared" si="9"/>
        <v>#DIV/0!</v>
      </c>
      <c r="AG129" s="8" t="str">
        <f t="shared" si="10"/>
        <v>#DIV/0!</v>
      </c>
      <c r="AH129" s="8" t="str">
        <f t="shared" si="11"/>
        <v>#DIV/0!</v>
      </c>
      <c r="AI129" s="10">
        <f t="shared" si="12"/>
        <v>0.6963788301</v>
      </c>
      <c r="AJ129" s="11">
        <f t="shared" si="13"/>
        <v>0.1740947075</v>
      </c>
      <c r="AK129" s="12">
        <f t="shared" si="14"/>
        <v>0.008356545961</v>
      </c>
    </row>
    <row r="130">
      <c r="A130" s="4" t="s">
        <v>195</v>
      </c>
      <c r="B130" s="5" t="s">
        <v>190</v>
      </c>
      <c r="C130" s="4" t="s">
        <v>49</v>
      </c>
      <c r="D130" s="6">
        <v>5737.0</v>
      </c>
      <c r="E130" s="6">
        <v>1365.0</v>
      </c>
      <c r="F130" s="6">
        <v>1365.0</v>
      </c>
      <c r="G130" s="6">
        <v>5737.0</v>
      </c>
      <c r="H130" s="6">
        <v>19.0</v>
      </c>
      <c r="I130" s="6">
        <v>250.0</v>
      </c>
      <c r="J130" s="6">
        <v>3596.0</v>
      </c>
      <c r="K130" s="6">
        <v>185.0</v>
      </c>
      <c r="L130" s="4" t="s">
        <v>50</v>
      </c>
      <c r="M130" s="6">
        <v>8000.0</v>
      </c>
      <c r="N130" s="6">
        <v>8000.0</v>
      </c>
      <c r="O130" s="6">
        <v>4650.0</v>
      </c>
      <c r="P130" s="6">
        <v>2000.0</v>
      </c>
      <c r="Q130" s="6">
        <v>5.0</v>
      </c>
      <c r="R130" s="6">
        <v>22.0</v>
      </c>
      <c r="S130" s="7"/>
      <c r="T130" s="6">
        <v>103.0</v>
      </c>
      <c r="U130" s="6">
        <v>224.0</v>
      </c>
      <c r="V130" s="5">
        <v>8.0</v>
      </c>
      <c r="W130" s="7"/>
      <c r="X130" s="8">
        <f t="shared" si="1"/>
        <v>4</v>
      </c>
      <c r="Y130" s="9">
        <f t="shared" si="2"/>
        <v>10000</v>
      </c>
      <c r="Z130" s="8">
        <f t="shared" si="3"/>
        <v>5.860805861</v>
      </c>
      <c r="AA130" s="8">
        <f t="shared" si="4"/>
        <v>1.465201465</v>
      </c>
      <c r="AB130" s="8">
        <f t="shared" si="5"/>
        <v>0.07545787546</v>
      </c>
      <c r="AC130" s="8">
        <f t="shared" si="6"/>
        <v>32</v>
      </c>
      <c r="AD130" s="8">
        <f t="shared" si="7"/>
        <v>8</v>
      </c>
      <c r="AE130" s="8">
        <f t="shared" si="8"/>
        <v>0.412</v>
      </c>
      <c r="AF130" s="8">
        <f t="shared" si="9"/>
        <v>421.0526316</v>
      </c>
      <c r="AG130" s="8">
        <f t="shared" si="10"/>
        <v>105.2631579</v>
      </c>
      <c r="AH130" s="8">
        <f t="shared" si="11"/>
        <v>5.421052632</v>
      </c>
      <c r="AI130" s="10">
        <f t="shared" si="12"/>
        <v>2.224694105</v>
      </c>
      <c r="AJ130" s="11">
        <f t="shared" si="13"/>
        <v>0.5561735261</v>
      </c>
      <c r="AK130" s="12">
        <f t="shared" si="14"/>
        <v>0.0286429366</v>
      </c>
    </row>
    <row r="131">
      <c r="A131" s="4" t="s">
        <v>196</v>
      </c>
      <c r="B131" s="5" t="s">
        <v>190</v>
      </c>
      <c r="C131" s="4" t="s">
        <v>56</v>
      </c>
      <c r="D131" s="6">
        <v>6375.0</v>
      </c>
      <c r="E131" s="6">
        <v>1517.0</v>
      </c>
      <c r="F131" s="6">
        <v>1517.0</v>
      </c>
      <c r="G131" s="6">
        <v>6375.0</v>
      </c>
      <c r="H131" s="6">
        <v>45.0</v>
      </c>
      <c r="I131" s="6">
        <v>287.0</v>
      </c>
      <c r="J131" s="6">
        <v>4121.0</v>
      </c>
      <c r="K131" s="6">
        <v>161.0</v>
      </c>
      <c r="L131" s="4" t="s">
        <v>50</v>
      </c>
      <c r="M131" s="6">
        <v>19000.0</v>
      </c>
      <c r="N131" s="6">
        <v>12000.0</v>
      </c>
      <c r="O131" s="6">
        <v>5700.0</v>
      </c>
      <c r="P131" s="6">
        <v>6000.0</v>
      </c>
      <c r="Q131" s="6">
        <v>6.0</v>
      </c>
      <c r="R131" s="6">
        <v>22.0</v>
      </c>
      <c r="S131" s="7"/>
      <c r="T131" s="6">
        <v>67.0</v>
      </c>
      <c r="U131" s="6">
        <v>337.0</v>
      </c>
      <c r="V131" s="5">
        <v>10.0</v>
      </c>
      <c r="W131" s="7"/>
      <c r="X131" s="8">
        <f t="shared" si="1"/>
        <v>2</v>
      </c>
      <c r="Y131" s="9">
        <f t="shared" si="2"/>
        <v>18000</v>
      </c>
      <c r="Z131" s="8">
        <f t="shared" si="3"/>
        <v>7.910349374</v>
      </c>
      <c r="AA131" s="8">
        <f t="shared" si="4"/>
        <v>3.955174687</v>
      </c>
      <c r="AB131" s="8">
        <f t="shared" si="5"/>
        <v>0.04416611734</v>
      </c>
      <c r="AC131" s="8">
        <f t="shared" si="6"/>
        <v>41.81184669</v>
      </c>
      <c r="AD131" s="8">
        <f t="shared" si="7"/>
        <v>20.90592334</v>
      </c>
      <c r="AE131" s="8">
        <f t="shared" si="8"/>
        <v>0.2334494774</v>
      </c>
      <c r="AF131" s="8">
        <f t="shared" si="9"/>
        <v>266.6666667</v>
      </c>
      <c r="AG131" s="8">
        <f t="shared" si="10"/>
        <v>133.3333333</v>
      </c>
      <c r="AH131" s="8">
        <f t="shared" si="11"/>
        <v>1.488888889</v>
      </c>
      <c r="AI131" s="10">
        <f t="shared" si="12"/>
        <v>2.911914584</v>
      </c>
      <c r="AJ131" s="11">
        <f t="shared" si="13"/>
        <v>1.455957292</v>
      </c>
      <c r="AK131" s="12">
        <f t="shared" si="14"/>
        <v>0.01625818976</v>
      </c>
    </row>
    <row r="132">
      <c r="A132" s="4" t="s">
        <v>197</v>
      </c>
      <c r="B132" s="5" t="s">
        <v>190</v>
      </c>
      <c r="C132" s="4" t="s">
        <v>64</v>
      </c>
      <c r="D132" s="6">
        <v>3167.0</v>
      </c>
      <c r="E132" s="6">
        <v>753.0</v>
      </c>
      <c r="F132" s="6">
        <v>753.0</v>
      </c>
      <c r="G132" s="6">
        <v>3167.0</v>
      </c>
      <c r="H132" s="6">
        <v>20.0</v>
      </c>
      <c r="I132" s="6">
        <v>138.0</v>
      </c>
      <c r="J132" s="6">
        <v>1986.0</v>
      </c>
      <c r="K132" s="6">
        <v>80.0</v>
      </c>
      <c r="L132" s="4" t="s">
        <v>50</v>
      </c>
      <c r="M132" s="6">
        <v>8000.0</v>
      </c>
      <c r="N132" s="6">
        <v>4000.0</v>
      </c>
      <c r="O132" s="6">
        <v>2400.0</v>
      </c>
      <c r="P132" s="6">
        <v>2000.0</v>
      </c>
      <c r="Q132" s="6">
        <v>5.0</v>
      </c>
      <c r="R132" s="6">
        <v>10.0</v>
      </c>
      <c r="S132" s="7"/>
      <c r="T132" s="6">
        <v>30.0</v>
      </c>
      <c r="U132" s="6">
        <v>449.0</v>
      </c>
      <c r="V132" s="5">
        <v>8.0</v>
      </c>
      <c r="W132" s="7"/>
      <c r="X132" s="8">
        <f t="shared" si="1"/>
        <v>2</v>
      </c>
      <c r="Y132" s="9">
        <f t="shared" si="2"/>
        <v>6000</v>
      </c>
      <c r="Z132" s="8">
        <f t="shared" si="3"/>
        <v>5.312084993</v>
      </c>
      <c r="AA132" s="8">
        <f t="shared" si="4"/>
        <v>2.656042497</v>
      </c>
      <c r="AB132" s="8">
        <f t="shared" si="5"/>
        <v>0.03984063745</v>
      </c>
      <c r="AC132" s="8">
        <f t="shared" si="6"/>
        <v>28.98550725</v>
      </c>
      <c r="AD132" s="8">
        <f t="shared" si="7"/>
        <v>14.49275362</v>
      </c>
      <c r="AE132" s="8">
        <f t="shared" si="8"/>
        <v>0.2173913043</v>
      </c>
      <c r="AF132" s="8">
        <f t="shared" si="9"/>
        <v>200</v>
      </c>
      <c r="AG132" s="8">
        <f t="shared" si="10"/>
        <v>100</v>
      </c>
      <c r="AH132" s="8">
        <f t="shared" si="11"/>
        <v>1.5</v>
      </c>
      <c r="AI132" s="10">
        <f t="shared" si="12"/>
        <v>2.014098691</v>
      </c>
      <c r="AJ132" s="11">
        <f t="shared" si="13"/>
        <v>1.007049345</v>
      </c>
      <c r="AK132" s="12">
        <f t="shared" si="14"/>
        <v>0.01510574018</v>
      </c>
    </row>
    <row r="133">
      <c r="A133" s="4" t="s">
        <v>198</v>
      </c>
      <c r="B133" s="5" t="s">
        <v>190</v>
      </c>
      <c r="C133" s="4" t="s">
        <v>91</v>
      </c>
      <c r="D133" s="6">
        <v>3180.0</v>
      </c>
      <c r="E133" s="6">
        <v>756.0</v>
      </c>
      <c r="F133" s="6">
        <v>756.0</v>
      </c>
      <c r="G133" s="6">
        <v>3180.0</v>
      </c>
      <c r="H133" s="6">
        <v>21.0</v>
      </c>
      <c r="I133" s="6">
        <v>138.0</v>
      </c>
      <c r="J133" s="6">
        <v>1992.0</v>
      </c>
      <c r="K133" s="6">
        <v>166.0</v>
      </c>
      <c r="L133" s="4" t="s">
        <v>50</v>
      </c>
      <c r="M133" s="6">
        <v>9000.0</v>
      </c>
      <c r="N133" s="6">
        <v>2000.0</v>
      </c>
      <c r="O133" s="6">
        <v>1550.0</v>
      </c>
      <c r="P133" s="6">
        <v>4000.0</v>
      </c>
      <c r="Q133" s="6">
        <v>5.0</v>
      </c>
      <c r="R133" s="6">
        <v>18.0</v>
      </c>
      <c r="S133" s="7"/>
      <c r="T133" s="6">
        <v>55.0</v>
      </c>
      <c r="U133" s="6">
        <v>224.0</v>
      </c>
      <c r="V133" s="5">
        <v>8.0</v>
      </c>
      <c r="W133" s="7"/>
      <c r="X133" s="8">
        <f t="shared" si="1"/>
        <v>0.5</v>
      </c>
      <c r="Y133" s="9">
        <f t="shared" si="2"/>
        <v>6000</v>
      </c>
      <c r="Z133" s="8">
        <f t="shared" si="3"/>
        <v>2.645502646</v>
      </c>
      <c r="AA133" s="8">
        <f t="shared" si="4"/>
        <v>5.291005291</v>
      </c>
      <c r="AB133" s="8">
        <f t="shared" si="5"/>
        <v>0.07275132275</v>
      </c>
      <c r="AC133" s="8">
        <f t="shared" si="6"/>
        <v>14.49275362</v>
      </c>
      <c r="AD133" s="8">
        <f t="shared" si="7"/>
        <v>28.98550725</v>
      </c>
      <c r="AE133" s="8">
        <f t="shared" si="8"/>
        <v>0.3985507246</v>
      </c>
      <c r="AF133" s="8">
        <f t="shared" si="9"/>
        <v>95.23809524</v>
      </c>
      <c r="AG133" s="8">
        <f t="shared" si="10"/>
        <v>190.4761905</v>
      </c>
      <c r="AH133" s="8">
        <f t="shared" si="11"/>
        <v>2.619047619</v>
      </c>
      <c r="AI133" s="10">
        <f t="shared" si="12"/>
        <v>1.004016064</v>
      </c>
      <c r="AJ133" s="11">
        <f t="shared" si="13"/>
        <v>2.008032129</v>
      </c>
      <c r="AK133" s="12">
        <f t="shared" si="14"/>
        <v>0.02761044177</v>
      </c>
    </row>
    <row r="134">
      <c r="A134" s="4" t="s">
        <v>199</v>
      </c>
      <c r="B134" s="5" t="s">
        <v>190</v>
      </c>
      <c r="C134" s="4" t="s">
        <v>91</v>
      </c>
      <c r="D134" s="6">
        <v>2989.0</v>
      </c>
      <c r="E134" s="6">
        <v>711.0</v>
      </c>
      <c r="F134" s="6">
        <v>711.0</v>
      </c>
      <c r="G134" s="6">
        <v>2989.0</v>
      </c>
      <c r="H134" s="6">
        <v>23.0</v>
      </c>
      <c r="I134" s="6">
        <v>130.0</v>
      </c>
      <c r="J134" s="6">
        <v>1873.0</v>
      </c>
      <c r="K134" s="6">
        <v>180.0</v>
      </c>
      <c r="L134" s="4" t="s">
        <v>50</v>
      </c>
      <c r="M134" s="6">
        <v>9000.0</v>
      </c>
      <c r="N134" s="6">
        <v>3000.0</v>
      </c>
      <c r="O134" s="6">
        <v>1100.0</v>
      </c>
      <c r="P134" s="6">
        <v>2000.0</v>
      </c>
      <c r="Q134" s="6">
        <v>4.0</v>
      </c>
      <c r="R134" s="6">
        <v>12.0</v>
      </c>
      <c r="S134" s="7"/>
      <c r="T134" s="6">
        <v>37.0</v>
      </c>
      <c r="U134" s="6">
        <v>187.0</v>
      </c>
      <c r="V134" s="5">
        <v>12.0</v>
      </c>
      <c r="W134" s="7"/>
      <c r="X134" s="8">
        <f t="shared" si="1"/>
        <v>1.5</v>
      </c>
      <c r="Y134" s="9">
        <f t="shared" si="2"/>
        <v>5000</v>
      </c>
      <c r="Z134" s="8">
        <f t="shared" si="3"/>
        <v>4.219409283</v>
      </c>
      <c r="AA134" s="8">
        <f t="shared" si="4"/>
        <v>2.812939522</v>
      </c>
      <c r="AB134" s="8">
        <f t="shared" si="5"/>
        <v>0.05203938115</v>
      </c>
      <c r="AC134" s="8">
        <f t="shared" si="6"/>
        <v>23.07692308</v>
      </c>
      <c r="AD134" s="8">
        <f t="shared" si="7"/>
        <v>15.38461538</v>
      </c>
      <c r="AE134" s="8">
        <f t="shared" si="8"/>
        <v>0.2846153846</v>
      </c>
      <c r="AF134" s="8">
        <f t="shared" si="9"/>
        <v>130.4347826</v>
      </c>
      <c r="AG134" s="8">
        <f t="shared" si="10"/>
        <v>86.95652174</v>
      </c>
      <c r="AH134" s="8">
        <f t="shared" si="11"/>
        <v>1.608695652</v>
      </c>
      <c r="AI134" s="10">
        <f t="shared" si="12"/>
        <v>1.601708489</v>
      </c>
      <c r="AJ134" s="11">
        <f t="shared" si="13"/>
        <v>1.067805659</v>
      </c>
      <c r="AK134" s="12">
        <f t="shared" si="14"/>
        <v>0.0197544047</v>
      </c>
    </row>
    <row r="135">
      <c r="A135" s="4" t="s">
        <v>200</v>
      </c>
      <c r="B135" s="4" t="s">
        <v>201</v>
      </c>
      <c r="C135" s="4" t="s">
        <v>73</v>
      </c>
      <c r="D135" s="6">
        <v>3366.0</v>
      </c>
      <c r="E135" s="6">
        <v>801.0</v>
      </c>
      <c r="F135" s="6">
        <v>801.0</v>
      </c>
      <c r="G135" s="6">
        <v>3366.0</v>
      </c>
      <c r="H135" s="6">
        <v>14.0</v>
      </c>
      <c r="I135" s="6">
        <v>147.0</v>
      </c>
      <c r="J135" s="6">
        <v>1563.0</v>
      </c>
      <c r="K135" s="6">
        <v>185.0</v>
      </c>
      <c r="L135" s="4" t="s">
        <v>50</v>
      </c>
      <c r="M135" s="6">
        <v>6000.0</v>
      </c>
      <c r="N135" s="6">
        <v>5000.0</v>
      </c>
      <c r="O135" s="6">
        <v>3100.0</v>
      </c>
      <c r="P135" s="6">
        <v>2000.0</v>
      </c>
      <c r="Q135" s="6">
        <v>4.0</v>
      </c>
      <c r="R135" s="6">
        <v>20.0</v>
      </c>
      <c r="S135" s="7"/>
      <c r="T135" s="6">
        <v>12.0</v>
      </c>
      <c r="U135" s="6">
        <v>224.0</v>
      </c>
      <c r="V135" s="7"/>
      <c r="W135" s="7"/>
      <c r="X135" s="8">
        <f t="shared" si="1"/>
        <v>2.5</v>
      </c>
      <c r="Y135" s="9">
        <f t="shared" si="2"/>
        <v>7000</v>
      </c>
      <c r="Z135" s="8">
        <f t="shared" si="3"/>
        <v>6.242197253</v>
      </c>
      <c r="AA135" s="8">
        <f t="shared" si="4"/>
        <v>2.496878901</v>
      </c>
      <c r="AB135" s="8">
        <f t="shared" si="5"/>
        <v>0.01498127341</v>
      </c>
      <c r="AC135" s="8">
        <f t="shared" si="6"/>
        <v>34.01360544</v>
      </c>
      <c r="AD135" s="8">
        <f t="shared" si="7"/>
        <v>13.60544218</v>
      </c>
      <c r="AE135" s="8">
        <f t="shared" si="8"/>
        <v>0.08163265306</v>
      </c>
      <c r="AF135" s="8">
        <f t="shared" si="9"/>
        <v>357.1428571</v>
      </c>
      <c r="AG135" s="8">
        <f t="shared" si="10"/>
        <v>142.8571429</v>
      </c>
      <c r="AH135" s="8">
        <f t="shared" si="11"/>
        <v>0.8571428571</v>
      </c>
      <c r="AI135" s="10">
        <f t="shared" si="12"/>
        <v>3.198976328</v>
      </c>
      <c r="AJ135" s="11">
        <f t="shared" si="13"/>
        <v>1.279590531</v>
      </c>
      <c r="AK135" s="12">
        <f t="shared" si="14"/>
        <v>0.007677543186</v>
      </c>
    </row>
    <row r="136">
      <c r="A136" s="4" t="s">
        <v>202</v>
      </c>
      <c r="B136" s="4" t="s">
        <v>201</v>
      </c>
      <c r="C136" s="4" t="s">
        <v>60</v>
      </c>
      <c r="D136" s="6">
        <v>5238.0</v>
      </c>
      <c r="E136" s="6">
        <v>1246.0</v>
      </c>
      <c r="F136" s="6">
        <v>1246.0</v>
      </c>
      <c r="G136" s="6">
        <v>5238.0</v>
      </c>
      <c r="H136" s="6">
        <v>24.0</v>
      </c>
      <c r="I136" s="6">
        <v>222.0</v>
      </c>
      <c r="J136" s="6">
        <v>3188.0</v>
      </c>
      <c r="K136" s="6">
        <v>115.0</v>
      </c>
      <c r="L136" s="4" t="s">
        <v>50</v>
      </c>
      <c r="M136" s="6">
        <v>13000.0</v>
      </c>
      <c r="N136" s="6">
        <v>8000.0</v>
      </c>
      <c r="O136" s="6">
        <v>2500.0</v>
      </c>
      <c r="P136" s="6">
        <v>5000.0</v>
      </c>
      <c r="Q136" s="6">
        <v>4.0</v>
      </c>
      <c r="R136" s="6">
        <v>12.0</v>
      </c>
      <c r="S136" s="7"/>
      <c r="T136" s="6">
        <v>0.0</v>
      </c>
      <c r="U136" s="6">
        <v>375.0</v>
      </c>
      <c r="V136" s="7"/>
      <c r="W136" s="7"/>
      <c r="X136" s="8">
        <f t="shared" si="1"/>
        <v>1.6</v>
      </c>
      <c r="Y136" s="9">
        <f t="shared" si="2"/>
        <v>13000</v>
      </c>
      <c r="Z136" s="8">
        <f t="shared" si="3"/>
        <v>6.420545746</v>
      </c>
      <c r="AA136" s="8">
        <f t="shared" si="4"/>
        <v>4.012841091</v>
      </c>
      <c r="AB136" s="8">
        <f t="shared" si="5"/>
        <v>0</v>
      </c>
      <c r="AC136" s="8">
        <f t="shared" si="6"/>
        <v>36.03603604</v>
      </c>
      <c r="AD136" s="8">
        <f t="shared" si="7"/>
        <v>22.52252252</v>
      </c>
      <c r="AE136" s="8">
        <f t="shared" si="8"/>
        <v>0</v>
      </c>
      <c r="AF136" s="8">
        <f t="shared" si="9"/>
        <v>333.3333333</v>
      </c>
      <c r="AG136" s="8">
        <f t="shared" si="10"/>
        <v>208.3333333</v>
      </c>
      <c r="AH136" s="8">
        <f t="shared" si="11"/>
        <v>0</v>
      </c>
      <c r="AI136" s="10">
        <f t="shared" si="12"/>
        <v>2.509410289</v>
      </c>
      <c r="AJ136" s="11">
        <f t="shared" si="13"/>
        <v>1.56838143</v>
      </c>
      <c r="AK136" s="12">
        <f t="shared" si="14"/>
        <v>0</v>
      </c>
    </row>
    <row r="137">
      <c r="A137" s="4" t="s">
        <v>203</v>
      </c>
      <c r="B137" s="4" t="s">
        <v>201</v>
      </c>
      <c r="C137" s="4" t="s">
        <v>56</v>
      </c>
      <c r="D137" s="6">
        <v>3507.0</v>
      </c>
      <c r="E137" s="6">
        <v>835.0</v>
      </c>
      <c r="F137" s="6">
        <v>835.0</v>
      </c>
      <c r="G137" s="6">
        <v>3507.0</v>
      </c>
      <c r="H137" s="6">
        <v>18.0</v>
      </c>
      <c r="I137" s="6">
        <v>157.0</v>
      </c>
      <c r="J137" s="6">
        <v>2267.0</v>
      </c>
      <c r="K137" s="6">
        <v>209.0</v>
      </c>
      <c r="L137" s="4" t="s">
        <v>50</v>
      </c>
      <c r="M137" s="6">
        <v>7000.0</v>
      </c>
      <c r="N137" s="6">
        <v>4000.0</v>
      </c>
      <c r="O137" s="6">
        <v>1700.0</v>
      </c>
      <c r="P137" s="6">
        <v>3000.0</v>
      </c>
      <c r="Q137" s="6">
        <v>3.0</v>
      </c>
      <c r="R137" s="6">
        <v>18.0</v>
      </c>
      <c r="S137" s="7"/>
      <c r="T137" s="6">
        <v>6.0</v>
      </c>
      <c r="U137" s="6">
        <v>262.0</v>
      </c>
      <c r="V137" s="7"/>
      <c r="W137" s="7"/>
      <c r="X137" s="8">
        <f t="shared" si="1"/>
        <v>1.333333333</v>
      </c>
      <c r="Y137" s="9">
        <f t="shared" si="2"/>
        <v>7000</v>
      </c>
      <c r="Z137" s="8">
        <f t="shared" si="3"/>
        <v>4.790419162</v>
      </c>
      <c r="AA137" s="8">
        <f t="shared" si="4"/>
        <v>3.592814371</v>
      </c>
      <c r="AB137" s="8">
        <f t="shared" si="5"/>
        <v>0.007185628743</v>
      </c>
      <c r="AC137" s="8">
        <f t="shared" si="6"/>
        <v>25.47770701</v>
      </c>
      <c r="AD137" s="8">
        <f t="shared" si="7"/>
        <v>19.10828025</v>
      </c>
      <c r="AE137" s="8">
        <f t="shared" si="8"/>
        <v>0.03821656051</v>
      </c>
      <c r="AF137" s="8">
        <f t="shared" si="9"/>
        <v>222.2222222</v>
      </c>
      <c r="AG137" s="8">
        <f t="shared" si="10"/>
        <v>166.6666667</v>
      </c>
      <c r="AH137" s="8">
        <f t="shared" si="11"/>
        <v>0.3333333333</v>
      </c>
      <c r="AI137" s="10">
        <f t="shared" si="12"/>
        <v>1.764446405</v>
      </c>
      <c r="AJ137" s="11">
        <f t="shared" si="13"/>
        <v>1.323334804</v>
      </c>
      <c r="AK137" s="12">
        <f t="shared" si="14"/>
        <v>0.002646669607</v>
      </c>
    </row>
    <row r="138">
      <c r="A138" s="4" t="s">
        <v>204</v>
      </c>
      <c r="B138" s="4" t="s">
        <v>201</v>
      </c>
      <c r="C138" s="4" t="s">
        <v>91</v>
      </c>
      <c r="D138" s="6">
        <v>1695.0</v>
      </c>
      <c r="E138" s="6">
        <v>403.0</v>
      </c>
      <c r="F138" s="6">
        <v>403.0</v>
      </c>
      <c r="G138" s="6">
        <v>1695.0</v>
      </c>
      <c r="H138" s="6">
        <v>13.0</v>
      </c>
      <c r="I138" s="6">
        <v>74.0</v>
      </c>
      <c r="J138" s="6">
        <v>1062.0</v>
      </c>
      <c r="K138" s="6">
        <v>166.0</v>
      </c>
      <c r="L138" s="4" t="s">
        <v>50</v>
      </c>
      <c r="M138" s="6">
        <v>6000.0</v>
      </c>
      <c r="N138" s="6">
        <v>2000.0</v>
      </c>
      <c r="O138" s="6">
        <v>1550.0</v>
      </c>
      <c r="P138" s="6">
        <v>2000.0</v>
      </c>
      <c r="Q138" s="6">
        <v>3.0</v>
      </c>
      <c r="R138" s="6">
        <v>18.0</v>
      </c>
      <c r="S138" s="7"/>
      <c r="T138" s="6">
        <v>6.0</v>
      </c>
      <c r="U138" s="6">
        <v>224.0</v>
      </c>
      <c r="V138" s="7"/>
      <c r="W138" s="7"/>
      <c r="X138" s="8">
        <f t="shared" si="1"/>
        <v>1</v>
      </c>
      <c r="Y138" s="9">
        <f t="shared" si="2"/>
        <v>4000</v>
      </c>
      <c r="Z138" s="8">
        <f t="shared" si="3"/>
        <v>4.962779156</v>
      </c>
      <c r="AA138" s="8">
        <f t="shared" si="4"/>
        <v>4.962779156</v>
      </c>
      <c r="AB138" s="8">
        <f t="shared" si="5"/>
        <v>0.01488833747</v>
      </c>
      <c r="AC138" s="8">
        <f t="shared" si="6"/>
        <v>27.02702703</v>
      </c>
      <c r="AD138" s="8">
        <f t="shared" si="7"/>
        <v>27.02702703</v>
      </c>
      <c r="AE138" s="8">
        <f t="shared" si="8"/>
        <v>0.08108108108</v>
      </c>
      <c r="AF138" s="8">
        <f t="shared" si="9"/>
        <v>153.8461538</v>
      </c>
      <c r="AG138" s="8">
        <f t="shared" si="10"/>
        <v>153.8461538</v>
      </c>
      <c r="AH138" s="8">
        <f t="shared" si="11"/>
        <v>0.4615384615</v>
      </c>
      <c r="AI138" s="10">
        <f t="shared" si="12"/>
        <v>1.883239171</v>
      </c>
      <c r="AJ138" s="11">
        <f t="shared" si="13"/>
        <v>1.883239171</v>
      </c>
      <c r="AK138" s="12">
        <f t="shared" si="14"/>
        <v>0.005649717514</v>
      </c>
    </row>
    <row r="139">
      <c r="A139" s="4" t="s">
        <v>205</v>
      </c>
      <c r="B139" s="4" t="s">
        <v>201</v>
      </c>
      <c r="C139" s="4" t="s">
        <v>64</v>
      </c>
      <c r="D139" s="6">
        <v>4052.0</v>
      </c>
      <c r="E139" s="6">
        <v>963.0</v>
      </c>
      <c r="F139" s="6">
        <v>963.0</v>
      </c>
      <c r="G139" s="6">
        <v>4052.0</v>
      </c>
      <c r="H139" s="6">
        <v>20.0</v>
      </c>
      <c r="I139" s="6">
        <v>176.0</v>
      </c>
      <c r="J139" s="6">
        <v>2540.0</v>
      </c>
      <c r="K139" s="6">
        <v>110.0</v>
      </c>
      <c r="L139" s="4" t="s">
        <v>50</v>
      </c>
      <c r="M139" s="6">
        <v>9000.0</v>
      </c>
      <c r="N139" s="6">
        <v>6000.0</v>
      </c>
      <c r="O139" s="6">
        <v>2200.0</v>
      </c>
      <c r="P139" s="6">
        <v>4000.0</v>
      </c>
      <c r="Q139" s="6">
        <v>4.0</v>
      </c>
      <c r="R139" s="6">
        <v>16.0</v>
      </c>
      <c r="S139" s="7"/>
      <c r="T139" s="6">
        <v>0.0</v>
      </c>
      <c r="U139" s="6">
        <v>299.0</v>
      </c>
      <c r="V139" s="7"/>
      <c r="W139" s="7"/>
      <c r="X139" s="8">
        <f t="shared" si="1"/>
        <v>1.5</v>
      </c>
      <c r="Y139" s="9">
        <f t="shared" si="2"/>
        <v>10000</v>
      </c>
      <c r="Z139" s="8">
        <f t="shared" si="3"/>
        <v>6.230529595</v>
      </c>
      <c r="AA139" s="8">
        <f t="shared" si="4"/>
        <v>4.153686397</v>
      </c>
      <c r="AB139" s="8">
        <f t="shared" si="5"/>
        <v>0</v>
      </c>
      <c r="AC139" s="8">
        <f t="shared" si="6"/>
        <v>34.09090909</v>
      </c>
      <c r="AD139" s="8">
        <f t="shared" si="7"/>
        <v>22.72727273</v>
      </c>
      <c r="AE139" s="8">
        <f t="shared" si="8"/>
        <v>0</v>
      </c>
      <c r="AF139" s="8">
        <f t="shared" si="9"/>
        <v>300</v>
      </c>
      <c r="AG139" s="8">
        <f t="shared" si="10"/>
        <v>200</v>
      </c>
      <c r="AH139" s="8">
        <f t="shared" si="11"/>
        <v>0</v>
      </c>
      <c r="AI139" s="10">
        <f t="shared" si="12"/>
        <v>2.362204724</v>
      </c>
      <c r="AJ139" s="11">
        <f t="shared" si="13"/>
        <v>1.57480315</v>
      </c>
      <c r="AK139" s="12">
        <f t="shared" si="14"/>
        <v>0</v>
      </c>
    </row>
    <row r="140">
      <c r="A140" s="4" t="s">
        <v>206</v>
      </c>
      <c r="B140" s="4" t="s">
        <v>201</v>
      </c>
      <c r="C140" s="4" t="s">
        <v>73</v>
      </c>
      <c r="D140" s="6">
        <v>3253.0</v>
      </c>
      <c r="E140" s="6">
        <v>774.0</v>
      </c>
      <c r="F140" s="6">
        <v>774.0</v>
      </c>
      <c r="G140" s="6">
        <v>3253.0</v>
      </c>
      <c r="H140" s="6">
        <v>13.0</v>
      </c>
      <c r="I140" s="6">
        <v>142.0</v>
      </c>
      <c r="J140" s="6">
        <v>1510.0</v>
      </c>
      <c r="K140" s="6">
        <v>201.0</v>
      </c>
      <c r="L140" s="4" t="s">
        <v>50</v>
      </c>
      <c r="M140" s="6">
        <v>6000.0</v>
      </c>
      <c r="N140" s="6">
        <v>4000.0</v>
      </c>
      <c r="O140" s="6">
        <v>2400.0</v>
      </c>
      <c r="P140" s="6">
        <v>2000.0</v>
      </c>
      <c r="Q140" s="6">
        <v>3.0</v>
      </c>
      <c r="R140" s="6">
        <v>16.0</v>
      </c>
      <c r="S140" s="7"/>
      <c r="T140" s="6">
        <v>0.0</v>
      </c>
      <c r="U140" s="6">
        <v>187.0</v>
      </c>
      <c r="V140" s="7"/>
      <c r="W140" s="7"/>
      <c r="X140" s="8">
        <f t="shared" si="1"/>
        <v>2</v>
      </c>
      <c r="Y140" s="9">
        <f t="shared" si="2"/>
        <v>6000</v>
      </c>
      <c r="Z140" s="8">
        <f t="shared" si="3"/>
        <v>5.167958656</v>
      </c>
      <c r="AA140" s="8">
        <f t="shared" si="4"/>
        <v>2.583979328</v>
      </c>
      <c r="AB140" s="8">
        <f t="shared" si="5"/>
        <v>0</v>
      </c>
      <c r="AC140" s="8">
        <f t="shared" si="6"/>
        <v>28.16901408</v>
      </c>
      <c r="AD140" s="8">
        <f t="shared" si="7"/>
        <v>14.08450704</v>
      </c>
      <c r="AE140" s="8">
        <f t="shared" si="8"/>
        <v>0</v>
      </c>
      <c r="AF140" s="8">
        <f t="shared" si="9"/>
        <v>307.6923077</v>
      </c>
      <c r="AG140" s="8">
        <f t="shared" si="10"/>
        <v>153.8461538</v>
      </c>
      <c r="AH140" s="8">
        <f t="shared" si="11"/>
        <v>0</v>
      </c>
      <c r="AI140" s="10">
        <f t="shared" si="12"/>
        <v>2.649006623</v>
      </c>
      <c r="AJ140" s="11">
        <f t="shared" si="13"/>
        <v>1.324503311</v>
      </c>
      <c r="AK140" s="12">
        <f t="shared" si="14"/>
        <v>0</v>
      </c>
    </row>
    <row r="141">
      <c r="A141" s="4" t="s">
        <v>207</v>
      </c>
      <c r="B141" s="4" t="s">
        <v>201</v>
      </c>
      <c r="C141" s="4" t="s">
        <v>82</v>
      </c>
      <c r="D141" s="6">
        <v>3253.0</v>
      </c>
      <c r="E141" s="6">
        <v>774.0</v>
      </c>
      <c r="F141" s="6">
        <v>774.0</v>
      </c>
      <c r="G141" s="6">
        <v>3253.0</v>
      </c>
      <c r="H141" s="6">
        <v>0.0</v>
      </c>
      <c r="I141" s="6">
        <v>142.0</v>
      </c>
      <c r="J141" s="6">
        <v>2039.0</v>
      </c>
      <c r="K141" s="6">
        <v>105.0</v>
      </c>
      <c r="L141" s="4" t="s">
        <v>50</v>
      </c>
      <c r="M141" s="6">
        <v>33000.0</v>
      </c>
      <c r="N141" s="6">
        <v>4000.0</v>
      </c>
      <c r="O141" s="6">
        <v>2420.0</v>
      </c>
      <c r="P141" s="6">
        <v>2000.0</v>
      </c>
      <c r="Q141" s="6">
        <v>5.0</v>
      </c>
      <c r="R141" s="6">
        <v>18.0</v>
      </c>
      <c r="S141" s="7"/>
      <c r="T141" s="6">
        <v>27.0</v>
      </c>
      <c r="U141" s="6">
        <v>299.0</v>
      </c>
      <c r="V141" s="7"/>
      <c r="W141" s="7"/>
      <c r="X141" s="8">
        <f t="shared" si="1"/>
        <v>2</v>
      </c>
      <c r="Y141" s="9">
        <f t="shared" si="2"/>
        <v>6000</v>
      </c>
      <c r="Z141" s="8">
        <f t="shared" si="3"/>
        <v>5.167958656</v>
      </c>
      <c r="AA141" s="8">
        <f t="shared" si="4"/>
        <v>2.583979328</v>
      </c>
      <c r="AB141" s="8">
        <f t="shared" si="5"/>
        <v>0.03488372093</v>
      </c>
      <c r="AC141" s="8">
        <f t="shared" si="6"/>
        <v>28.16901408</v>
      </c>
      <c r="AD141" s="8">
        <f t="shared" si="7"/>
        <v>14.08450704</v>
      </c>
      <c r="AE141" s="8">
        <f t="shared" si="8"/>
        <v>0.1901408451</v>
      </c>
      <c r="AF141" s="8" t="str">
        <f t="shared" si="9"/>
        <v>#DIV/0!</v>
      </c>
      <c r="AG141" s="8" t="str">
        <f t="shared" si="10"/>
        <v>#DIV/0!</v>
      </c>
      <c r="AH141" s="8" t="str">
        <f t="shared" si="11"/>
        <v>#DIV/0!</v>
      </c>
      <c r="AI141" s="10">
        <f t="shared" si="12"/>
        <v>1.961745954</v>
      </c>
      <c r="AJ141" s="11">
        <f t="shared" si="13"/>
        <v>0.9808729769</v>
      </c>
      <c r="AK141" s="12">
        <f t="shared" si="14"/>
        <v>0.01324178519</v>
      </c>
    </row>
    <row r="142">
      <c r="A142" s="4" t="s">
        <v>208</v>
      </c>
      <c r="B142" s="4" t="s">
        <v>201</v>
      </c>
      <c r="C142" s="4" t="s">
        <v>49</v>
      </c>
      <c r="D142" s="6">
        <v>5050.0</v>
      </c>
      <c r="E142" s="6">
        <v>1202.0</v>
      </c>
      <c r="F142" s="6">
        <v>1202.0</v>
      </c>
      <c r="G142" s="6">
        <v>5050.0</v>
      </c>
      <c r="H142" s="6">
        <v>14.0</v>
      </c>
      <c r="I142" s="6">
        <v>220.0</v>
      </c>
      <c r="J142" s="6">
        <v>3165.0</v>
      </c>
      <c r="K142" s="6">
        <v>185.0</v>
      </c>
      <c r="L142" s="4" t="s">
        <v>50</v>
      </c>
      <c r="M142" s="6">
        <v>6000.0</v>
      </c>
      <c r="N142" s="6">
        <v>8000.0</v>
      </c>
      <c r="O142" s="6">
        <v>4650.0</v>
      </c>
      <c r="P142" s="6">
        <v>2000.0</v>
      </c>
      <c r="Q142" s="6">
        <v>3.0</v>
      </c>
      <c r="R142" s="6">
        <v>20.0</v>
      </c>
      <c r="S142" s="7"/>
      <c r="T142" s="6">
        <v>18.0</v>
      </c>
      <c r="U142" s="6">
        <v>224.0</v>
      </c>
      <c r="V142" s="7"/>
      <c r="W142" s="7"/>
      <c r="X142" s="8">
        <f t="shared" si="1"/>
        <v>4</v>
      </c>
      <c r="Y142" s="9">
        <f t="shared" si="2"/>
        <v>10000</v>
      </c>
      <c r="Z142" s="8">
        <f t="shared" si="3"/>
        <v>6.655574043</v>
      </c>
      <c r="AA142" s="8">
        <f t="shared" si="4"/>
        <v>1.663893511</v>
      </c>
      <c r="AB142" s="8">
        <f t="shared" si="5"/>
        <v>0.0149750416</v>
      </c>
      <c r="AC142" s="8">
        <f t="shared" si="6"/>
        <v>36.36363636</v>
      </c>
      <c r="AD142" s="8">
        <f t="shared" si="7"/>
        <v>9.090909091</v>
      </c>
      <c r="AE142" s="8">
        <f t="shared" si="8"/>
        <v>0.08181818182</v>
      </c>
      <c r="AF142" s="8">
        <f t="shared" si="9"/>
        <v>571.4285714</v>
      </c>
      <c r="AG142" s="8">
        <f t="shared" si="10"/>
        <v>142.8571429</v>
      </c>
      <c r="AH142" s="8">
        <f t="shared" si="11"/>
        <v>1.285714286</v>
      </c>
      <c r="AI142" s="10">
        <f t="shared" si="12"/>
        <v>2.52764613</v>
      </c>
      <c r="AJ142" s="11">
        <f t="shared" si="13"/>
        <v>0.6319115324</v>
      </c>
      <c r="AK142" s="12">
        <f t="shared" si="14"/>
        <v>0.005687203791</v>
      </c>
    </row>
    <row r="143">
      <c r="A143" s="4" t="s">
        <v>209</v>
      </c>
      <c r="B143" s="4" t="s">
        <v>210</v>
      </c>
      <c r="C143" s="4" t="s">
        <v>168</v>
      </c>
      <c r="D143" s="6">
        <v>6.0</v>
      </c>
      <c r="E143" s="6">
        <v>2.0</v>
      </c>
      <c r="F143" s="6">
        <v>4.0</v>
      </c>
      <c r="G143" s="6">
        <v>6.0</v>
      </c>
      <c r="H143" s="6">
        <v>0.0</v>
      </c>
      <c r="I143" s="6">
        <v>1.0</v>
      </c>
      <c r="J143" s="6">
        <v>6.0</v>
      </c>
      <c r="K143" s="6">
        <v>510.0</v>
      </c>
      <c r="L143" s="4" t="s">
        <v>211</v>
      </c>
      <c r="M143" s="6">
        <v>105.0</v>
      </c>
      <c r="N143" s="6">
        <v>5.0</v>
      </c>
      <c r="O143" s="6">
        <v>80.0</v>
      </c>
      <c r="P143" s="6">
        <v>11.0</v>
      </c>
      <c r="Q143" s="6">
        <v>0.0</v>
      </c>
      <c r="R143" s="6">
        <v>6.0</v>
      </c>
      <c r="S143" s="7"/>
      <c r="T143" s="6">
        <v>4.0</v>
      </c>
      <c r="U143" s="6">
        <v>2929.0</v>
      </c>
      <c r="V143" s="7"/>
      <c r="W143" s="7"/>
      <c r="X143" s="8">
        <f t="shared" si="1"/>
        <v>0.4545454545</v>
      </c>
      <c r="Y143" s="9">
        <f t="shared" si="2"/>
        <v>16</v>
      </c>
      <c r="Z143" s="8">
        <f t="shared" si="3"/>
        <v>2.5</v>
      </c>
      <c r="AA143" s="8">
        <f t="shared" si="4"/>
        <v>5.5</v>
      </c>
      <c r="AB143" s="8">
        <f t="shared" si="5"/>
        <v>2</v>
      </c>
      <c r="AC143" s="8">
        <f t="shared" si="6"/>
        <v>5</v>
      </c>
      <c r="AD143" s="8">
        <f t="shared" si="7"/>
        <v>11</v>
      </c>
      <c r="AE143" s="8">
        <f t="shared" si="8"/>
        <v>4</v>
      </c>
      <c r="AF143" s="8" t="str">
        <f t="shared" si="9"/>
        <v>#DIV/0!</v>
      </c>
      <c r="AG143" s="8" t="str">
        <f t="shared" si="10"/>
        <v>#DIV/0!</v>
      </c>
      <c r="AH143" s="8" t="str">
        <f t="shared" si="11"/>
        <v>#DIV/0!</v>
      </c>
      <c r="AI143" s="10">
        <f t="shared" si="12"/>
        <v>0.8333333333</v>
      </c>
      <c r="AJ143" s="11">
        <f t="shared" si="13"/>
        <v>1.833333333</v>
      </c>
      <c r="AK143" s="12">
        <f t="shared" si="14"/>
        <v>0.6666666667</v>
      </c>
    </row>
    <row r="144">
      <c r="A144" s="4" t="s">
        <v>212</v>
      </c>
      <c r="B144" s="4" t="s">
        <v>210</v>
      </c>
      <c r="C144" s="4" t="s">
        <v>73</v>
      </c>
      <c r="D144" s="6">
        <v>27.0</v>
      </c>
      <c r="E144" s="6">
        <v>6.0</v>
      </c>
      <c r="F144" s="6">
        <v>6.0</v>
      </c>
      <c r="G144" s="6">
        <v>27.0</v>
      </c>
      <c r="H144" s="6">
        <v>1.0</v>
      </c>
      <c r="I144" s="6">
        <v>1.0</v>
      </c>
      <c r="J144" s="6">
        <v>12.0</v>
      </c>
      <c r="K144" s="6">
        <v>532.0</v>
      </c>
      <c r="L144" s="4" t="s">
        <v>211</v>
      </c>
      <c r="M144" s="6">
        <v>135.0</v>
      </c>
      <c r="N144" s="6">
        <v>5.0</v>
      </c>
      <c r="O144" s="6">
        <v>50.0</v>
      </c>
      <c r="P144" s="6">
        <v>7.0</v>
      </c>
      <c r="Q144" s="6">
        <v>0.0</v>
      </c>
      <c r="R144" s="6">
        <v>4.0</v>
      </c>
      <c r="S144" s="7"/>
      <c r="T144" s="6">
        <v>1.0</v>
      </c>
      <c r="U144" s="6">
        <v>2460.0</v>
      </c>
      <c r="V144" s="7"/>
      <c r="W144" s="7"/>
      <c r="X144" s="8">
        <f t="shared" si="1"/>
        <v>0.7142857143</v>
      </c>
      <c r="Y144" s="9">
        <f t="shared" si="2"/>
        <v>12</v>
      </c>
      <c r="Z144" s="8">
        <f t="shared" si="3"/>
        <v>0.8333333333</v>
      </c>
      <c r="AA144" s="8">
        <f t="shared" si="4"/>
        <v>1.166666667</v>
      </c>
      <c r="AB144" s="8">
        <f t="shared" si="5"/>
        <v>0.1666666667</v>
      </c>
      <c r="AC144" s="8">
        <f t="shared" si="6"/>
        <v>5</v>
      </c>
      <c r="AD144" s="8">
        <f t="shared" si="7"/>
        <v>7</v>
      </c>
      <c r="AE144" s="8">
        <f t="shared" si="8"/>
        <v>1</v>
      </c>
      <c r="AF144" s="8">
        <f t="shared" si="9"/>
        <v>5</v>
      </c>
      <c r="AG144" s="8">
        <f t="shared" si="10"/>
        <v>7</v>
      </c>
      <c r="AH144" s="8">
        <f t="shared" si="11"/>
        <v>1</v>
      </c>
      <c r="AI144" s="10">
        <f t="shared" si="12"/>
        <v>0.4166666667</v>
      </c>
      <c r="AJ144" s="11">
        <f t="shared" si="13"/>
        <v>0.5833333333</v>
      </c>
      <c r="AK144" s="12">
        <f t="shared" si="14"/>
        <v>0.08333333333</v>
      </c>
    </row>
    <row r="145">
      <c r="A145" s="4" t="s">
        <v>213</v>
      </c>
      <c r="B145" s="4" t="s">
        <v>210</v>
      </c>
      <c r="C145" s="4" t="s">
        <v>73</v>
      </c>
      <c r="D145" s="6">
        <v>30.0</v>
      </c>
      <c r="E145" s="6">
        <v>6.0</v>
      </c>
      <c r="F145" s="6">
        <v>6.0</v>
      </c>
      <c r="G145" s="6">
        <v>30.0</v>
      </c>
      <c r="H145" s="6">
        <v>1.0</v>
      </c>
      <c r="I145" s="6">
        <v>1.0</v>
      </c>
      <c r="J145" s="6">
        <v>13.0</v>
      </c>
      <c r="K145" s="6">
        <v>532.0</v>
      </c>
      <c r="L145" s="4" t="s">
        <v>211</v>
      </c>
      <c r="M145" s="6">
        <v>180.0</v>
      </c>
      <c r="N145" s="6">
        <v>5.0</v>
      </c>
      <c r="O145" s="6">
        <v>50.0</v>
      </c>
      <c r="P145" s="6">
        <v>7.0</v>
      </c>
      <c r="Q145" s="6">
        <v>0.0</v>
      </c>
      <c r="R145" s="6">
        <v>4.0</v>
      </c>
      <c r="S145" s="7"/>
      <c r="T145" s="6">
        <v>1.0</v>
      </c>
      <c r="U145" s="6">
        <v>2460.0</v>
      </c>
      <c r="V145" s="7"/>
      <c r="W145" s="7"/>
      <c r="X145" s="8">
        <f t="shared" si="1"/>
        <v>0.7142857143</v>
      </c>
      <c r="Y145" s="9">
        <f t="shared" si="2"/>
        <v>12</v>
      </c>
      <c r="Z145" s="8">
        <f t="shared" si="3"/>
        <v>0.8333333333</v>
      </c>
      <c r="AA145" s="8">
        <f t="shared" si="4"/>
        <v>1.166666667</v>
      </c>
      <c r="AB145" s="8">
        <f t="shared" si="5"/>
        <v>0.1666666667</v>
      </c>
      <c r="AC145" s="8">
        <f t="shared" si="6"/>
        <v>5</v>
      </c>
      <c r="AD145" s="8">
        <f t="shared" si="7"/>
        <v>7</v>
      </c>
      <c r="AE145" s="8">
        <f t="shared" si="8"/>
        <v>1</v>
      </c>
      <c r="AF145" s="8">
        <f t="shared" si="9"/>
        <v>5</v>
      </c>
      <c r="AG145" s="8">
        <f t="shared" si="10"/>
        <v>7</v>
      </c>
      <c r="AH145" s="8">
        <f t="shared" si="11"/>
        <v>1</v>
      </c>
      <c r="AI145" s="10">
        <f t="shared" si="12"/>
        <v>0.3846153846</v>
      </c>
      <c r="AJ145" s="11">
        <f t="shared" si="13"/>
        <v>0.5384615385</v>
      </c>
      <c r="AK145" s="12">
        <f t="shared" si="14"/>
        <v>0.07692307692</v>
      </c>
    </row>
    <row r="146">
      <c r="A146" s="4" t="s">
        <v>214</v>
      </c>
      <c r="B146" s="4" t="s">
        <v>210</v>
      </c>
      <c r="C146" s="4" t="s">
        <v>73</v>
      </c>
      <c r="D146" s="6">
        <v>44.0</v>
      </c>
      <c r="E146" s="6">
        <v>10.0</v>
      </c>
      <c r="F146" s="6">
        <v>10.0</v>
      </c>
      <c r="G146" s="6">
        <v>44.0</v>
      </c>
      <c r="H146" s="6">
        <v>1.0</v>
      </c>
      <c r="I146" s="6">
        <v>1.0</v>
      </c>
      <c r="J146" s="6">
        <v>20.0</v>
      </c>
      <c r="K146" s="6">
        <v>563.0</v>
      </c>
      <c r="L146" s="4" t="s">
        <v>211</v>
      </c>
      <c r="M146" s="6">
        <v>135.0</v>
      </c>
      <c r="N146" s="6">
        <v>5.0</v>
      </c>
      <c r="O146" s="6">
        <v>50.0</v>
      </c>
      <c r="P146" s="6">
        <v>7.0</v>
      </c>
      <c r="Q146" s="6">
        <v>0.0</v>
      </c>
      <c r="R146" s="6">
        <v>4.0</v>
      </c>
      <c r="S146" s="7"/>
      <c r="T146" s="6">
        <v>1.0</v>
      </c>
      <c r="U146" s="6">
        <v>2953.0</v>
      </c>
      <c r="V146" s="7"/>
      <c r="W146" s="7"/>
      <c r="X146" s="8">
        <f t="shared" si="1"/>
        <v>0.7142857143</v>
      </c>
      <c r="Y146" s="9">
        <f t="shared" si="2"/>
        <v>12</v>
      </c>
      <c r="Z146" s="8">
        <f t="shared" si="3"/>
        <v>0.5</v>
      </c>
      <c r="AA146" s="8">
        <f t="shared" si="4"/>
        <v>0.7</v>
      </c>
      <c r="AB146" s="8">
        <f t="shared" si="5"/>
        <v>0.1</v>
      </c>
      <c r="AC146" s="8">
        <f t="shared" si="6"/>
        <v>5</v>
      </c>
      <c r="AD146" s="8">
        <f t="shared" si="7"/>
        <v>7</v>
      </c>
      <c r="AE146" s="8">
        <f t="shared" si="8"/>
        <v>1</v>
      </c>
      <c r="AF146" s="8">
        <f t="shared" si="9"/>
        <v>5</v>
      </c>
      <c r="AG146" s="8">
        <f t="shared" si="10"/>
        <v>7</v>
      </c>
      <c r="AH146" s="8">
        <f t="shared" si="11"/>
        <v>1</v>
      </c>
      <c r="AI146" s="10">
        <f t="shared" si="12"/>
        <v>0.25</v>
      </c>
      <c r="AJ146" s="11">
        <f t="shared" si="13"/>
        <v>0.35</v>
      </c>
      <c r="AK146" s="12">
        <f t="shared" si="14"/>
        <v>0.05</v>
      </c>
    </row>
    <row r="147">
      <c r="A147" s="4" t="s">
        <v>215</v>
      </c>
      <c r="B147" s="4" t="s">
        <v>210</v>
      </c>
      <c r="C147" s="4" t="s">
        <v>92</v>
      </c>
      <c r="D147" s="6">
        <v>30.0</v>
      </c>
      <c r="E147" s="6">
        <v>6.0</v>
      </c>
      <c r="F147" s="6">
        <v>6.0</v>
      </c>
      <c r="G147" s="6">
        <v>30.0</v>
      </c>
      <c r="H147" s="6">
        <v>2.0</v>
      </c>
      <c r="I147" s="6">
        <v>1.0</v>
      </c>
      <c r="J147" s="6">
        <v>18.0</v>
      </c>
      <c r="K147" s="6">
        <v>545.0</v>
      </c>
      <c r="L147" s="4" t="s">
        <v>211</v>
      </c>
      <c r="M147" s="6">
        <v>135.0</v>
      </c>
      <c r="N147" s="6">
        <v>5.0</v>
      </c>
      <c r="O147" s="6">
        <v>50.0</v>
      </c>
      <c r="P147" s="6">
        <v>6.0</v>
      </c>
      <c r="Q147" s="6">
        <v>0.0</v>
      </c>
      <c r="R147" s="6">
        <v>4.0</v>
      </c>
      <c r="S147" s="7"/>
      <c r="T147" s="6">
        <v>1.0</v>
      </c>
      <c r="U147" s="6">
        <v>2695.0</v>
      </c>
      <c r="V147" s="7"/>
      <c r="W147" s="7"/>
      <c r="X147" s="8">
        <f t="shared" si="1"/>
        <v>0.8333333333</v>
      </c>
      <c r="Y147" s="9">
        <f t="shared" si="2"/>
        <v>11</v>
      </c>
      <c r="Z147" s="8">
        <f t="shared" si="3"/>
        <v>0.8333333333</v>
      </c>
      <c r="AA147" s="8">
        <f t="shared" si="4"/>
        <v>1</v>
      </c>
      <c r="AB147" s="8">
        <f t="shared" si="5"/>
        <v>0.1666666667</v>
      </c>
      <c r="AC147" s="8">
        <f t="shared" si="6"/>
        <v>5</v>
      </c>
      <c r="AD147" s="8">
        <f t="shared" si="7"/>
        <v>6</v>
      </c>
      <c r="AE147" s="8">
        <f t="shared" si="8"/>
        <v>1</v>
      </c>
      <c r="AF147" s="8">
        <f t="shared" si="9"/>
        <v>2.5</v>
      </c>
      <c r="AG147" s="8">
        <f t="shared" si="10"/>
        <v>3</v>
      </c>
      <c r="AH147" s="8">
        <f t="shared" si="11"/>
        <v>0.5</v>
      </c>
      <c r="AI147" s="10">
        <f t="shared" si="12"/>
        <v>0.2777777778</v>
      </c>
      <c r="AJ147" s="11">
        <f t="shared" si="13"/>
        <v>0.3333333333</v>
      </c>
      <c r="AK147" s="12">
        <f t="shared" si="14"/>
        <v>0.05555555556</v>
      </c>
    </row>
    <row r="148">
      <c r="A148" s="4" t="s">
        <v>216</v>
      </c>
      <c r="B148" s="4" t="s">
        <v>210</v>
      </c>
      <c r="C148" s="4" t="s">
        <v>92</v>
      </c>
      <c r="D148" s="6">
        <v>33.0</v>
      </c>
      <c r="E148" s="6">
        <v>7.0</v>
      </c>
      <c r="F148" s="6">
        <v>7.0</v>
      </c>
      <c r="G148" s="6">
        <v>33.0</v>
      </c>
      <c r="H148" s="6">
        <v>2.0</v>
      </c>
      <c r="I148" s="6">
        <v>1.0</v>
      </c>
      <c r="J148" s="6">
        <v>19.0</v>
      </c>
      <c r="K148" s="6">
        <v>545.0</v>
      </c>
      <c r="L148" s="4" t="s">
        <v>211</v>
      </c>
      <c r="M148" s="6">
        <v>180.0</v>
      </c>
      <c r="N148" s="6">
        <v>5.0</v>
      </c>
      <c r="O148" s="6">
        <v>50.0</v>
      </c>
      <c r="P148" s="6">
        <v>6.0</v>
      </c>
      <c r="Q148" s="6">
        <v>0.0</v>
      </c>
      <c r="R148" s="6">
        <v>4.0</v>
      </c>
      <c r="S148" s="7"/>
      <c r="T148" s="6">
        <v>1.0</v>
      </c>
      <c r="U148" s="6">
        <v>2695.0</v>
      </c>
      <c r="V148" s="7"/>
      <c r="W148" s="7"/>
      <c r="X148" s="8">
        <f t="shared" si="1"/>
        <v>0.8333333333</v>
      </c>
      <c r="Y148" s="9">
        <f t="shared" si="2"/>
        <v>11</v>
      </c>
      <c r="Z148" s="8">
        <f t="shared" si="3"/>
        <v>0.7142857143</v>
      </c>
      <c r="AA148" s="8">
        <f t="shared" si="4"/>
        <v>0.8571428571</v>
      </c>
      <c r="AB148" s="8">
        <f t="shared" si="5"/>
        <v>0.1428571429</v>
      </c>
      <c r="AC148" s="8">
        <f t="shared" si="6"/>
        <v>5</v>
      </c>
      <c r="AD148" s="8">
        <f t="shared" si="7"/>
        <v>6</v>
      </c>
      <c r="AE148" s="8">
        <f t="shared" si="8"/>
        <v>1</v>
      </c>
      <c r="AF148" s="8">
        <f t="shared" si="9"/>
        <v>2.5</v>
      </c>
      <c r="AG148" s="8">
        <f t="shared" si="10"/>
        <v>3</v>
      </c>
      <c r="AH148" s="8">
        <f t="shared" si="11"/>
        <v>0.5</v>
      </c>
      <c r="AI148" s="10">
        <f t="shared" si="12"/>
        <v>0.2631578947</v>
      </c>
      <c r="AJ148" s="11">
        <f t="shared" si="13"/>
        <v>0.3157894737</v>
      </c>
      <c r="AK148" s="12">
        <f t="shared" si="14"/>
        <v>0.05263157895</v>
      </c>
    </row>
    <row r="149">
      <c r="A149" s="4" t="s">
        <v>217</v>
      </c>
      <c r="B149" s="4" t="s">
        <v>210</v>
      </c>
      <c r="C149" s="4" t="s">
        <v>92</v>
      </c>
      <c r="D149" s="6">
        <v>35.0</v>
      </c>
      <c r="E149" s="6">
        <v>7.0</v>
      </c>
      <c r="F149" s="6">
        <v>7.0</v>
      </c>
      <c r="G149" s="6">
        <v>35.0</v>
      </c>
      <c r="H149" s="6">
        <v>2.0</v>
      </c>
      <c r="I149" s="6">
        <v>1.0</v>
      </c>
      <c r="J149" s="6">
        <v>21.0</v>
      </c>
      <c r="K149" s="6">
        <v>577.0</v>
      </c>
      <c r="L149" s="4" t="s">
        <v>211</v>
      </c>
      <c r="M149" s="6">
        <v>135.0</v>
      </c>
      <c r="N149" s="6">
        <v>5.0</v>
      </c>
      <c r="O149" s="6">
        <v>50.0</v>
      </c>
      <c r="P149" s="6">
        <v>6.0</v>
      </c>
      <c r="Q149" s="6">
        <v>0.0</v>
      </c>
      <c r="R149" s="6">
        <v>4.0</v>
      </c>
      <c r="S149" s="7"/>
      <c r="T149" s="6">
        <v>1.0</v>
      </c>
      <c r="U149" s="6">
        <v>3234.0</v>
      </c>
      <c r="V149" s="7"/>
      <c r="W149" s="7"/>
      <c r="X149" s="8">
        <f t="shared" si="1"/>
        <v>0.8333333333</v>
      </c>
      <c r="Y149" s="9">
        <f t="shared" si="2"/>
        <v>11</v>
      </c>
      <c r="Z149" s="8">
        <f t="shared" si="3"/>
        <v>0.7142857143</v>
      </c>
      <c r="AA149" s="8">
        <f t="shared" si="4"/>
        <v>0.8571428571</v>
      </c>
      <c r="AB149" s="8">
        <f t="shared" si="5"/>
        <v>0.1428571429</v>
      </c>
      <c r="AC149" s="8">
        <f t="shared" si="6"/>
        <v>5</v>
      </c>
      <c r="AD149" s="8">
        <f t="shared" si="7"/>
        <v>6</v>
      </c>
      <c r="AE149" s="8">
        <f t="shared" si="8"/>
        <v>1</v>
      </c>
      <c r="AF149" s="8">
        <f t="shared" si="9"/>
        <v>2.5</v>
      </c>
      <c r="AG149" s="8">
        <f t="shared" si="10"/>
        <v>3</v>
      </c>
      <c r="AH149" s="8">
        <f t="shared" si="11"/>
        <v>0.5</v>
      </c>
      <c r="AI149" s="10">
        <f t="shared" si="12"/>
        <v>0.2380952381</v>
      </c>
      <c r="AJ149" s="11">
        <f t="shared" si="13"/>
        <v>0.2857142857</v>
      </c>
      <c r="AK149" s="12">
        <f t="shared" si="14"/>
        <v>0.04761904762</v>
      </c>
    </row>
    <row r="150">
      <c r="A150" s="4" t="s">
        <v>218</v>
      </c>
      <c r="B150" s="4" t="s">
        <v>210</v>
      </c>
      <c r="C150" s="4" t="s">
        <v>92</v>
      </c>
      <c r="D150" s="6">
        <v>27.0</v>
      </c>
      <c r="E150" s="6">
        <v>6.0</v>
      </c>
      <c r="F150" s="6">
        <v>6.0</v>
      </c>
      <c r="G150" s="6">
        <v>27.0</v>
      </c>
      <c r="H150" s="6">
        <v>2.0</v>
      </c>
      <c r="I150" s="6">
        <v>1.0</v>
      </c>
      <c r="J150" s="6">
        <v>17.0</v>
      </c>
      <c r="K150" s="6">
        <v>545.0</v>
      </c>
      <c r="L150" s="4" t="s">
        <v>211</v>
      </c>
      <c r="M150" s="6">
        <v>135.0</v>
      </c>
      <c r="N150" s="6">
        <v>3.0</v>
      </c>
      <c r="O150" s="6">
        <v>20.0</v>
      </c>
      <c r="P150" s="6">
        <v>7.0</v>
      </c>
      <c r="Q150" s="6">
        <v>0.0</v>
      </c>
      <c r="R150" s="6">
        <v>4.0</v>
      </c>
      <c r="S150" s="7"/>
      <c r="T150" s="6">
        <v>1.0</v>
      </c>
      <c r="U150" s="6">
        <v>2695.0</v>
      </c>
      <c r="V150" s="7"/>
      <c r="W150" s="7"/>
      <c r="X150" s="8">
        <f t="shared" si="1"/>
        <v>0.4285714286</v>
      </c>
      <c r="Y150" s="9">
        <f t="shared" si="2"/>
        <v>10</v>
      </c>
      <c r="Z150" s="8">
        <f t="shared" si="3"/>
        <v>0.5</v>
      </c>
      <c r="AA150" s="8">
        <f t="shared" si="4"/>
        <v>1.166666667</v>
      </c>
      <c r="AB150" s="8">
        <f t="shared" si="5"/>
        <v>0.1666666667</v>
      </c>
      <c r="AC150" s="8">
        <f t="shared" si="6"/>
        <v>3</v>
      </c>
      <c r="AD150" s="8">
        <f t="shared" si="7"/>
        <v>7</v>
      </c>
      <c r="AE150" s="8">
        <f t="shared" si="8"/>
        <v>1</v>
      </c>
      <c r="AF150" s="8">
        <f t="shared" si="9"/>
        <v>1.5</v>
      </c>
      <c r="AG150" s="8">
        <f t="shared" si="10"/>
        <v>3.5</v>
      </c>
      <c r="AH150" s="8">
        <f t="shared" si="11"/>
        <v>0.5</v>
      </c>
      <c r="AI150" s="10">
        <f t="shared" si="12"/>
        <v>0.1764705882</v>
      </c>
      <c r="AJ150" s="11">
        <f t="shared" si="13"/>
        <v>0.4117647059</v>
      </c>
      <c r="AK150" s="12">
        <f t="shared" si="14"/>
        <v>0.05882352941</v>
      </c>
    </row>
    <row r="151">
      <c r="A151" s="4" t="s">
        <v>218</v>
      </c>
      <c r="B151" s="4" t="s">
        <v>210</v>
      </c>
      <c r="C151" s="4" t="s">
        <v>91</v>
      </c>
      <c r="D151" s="6">
        <v>13.0</v>
      </c>
      <c r="E151" s="6">
        <v>2.0</v>
      </c>
      <c r="F151" s="6">
        <v>2.0</v>
      </c>
      <c r="G151" s="6">
        <v>13.0</v>
      </c>
      <c r="H151" s="6">
        <v>1.0</v>
      </c>
      <c r="I151" s="6">
        <v>1.0</v>
      </c>
      <c r="J151" s="6">
        <v>8.0</v>
      </c>
      <c r="K151" s="6">
        <v>490.0</v>
      </c>
      <c r="L151" s="4" t="s">
        <v>211</v>
      </c>
      <c r="M151" s="6">
        <v>135.0</v>
      </c>
      <c r="N151" s="6">
        <v>2.0</v>
      </c>
      <c r="O151" s="6">
        <v>10.0</v>
      </c>
      <c r="P151" s="6">
        <v>7.0</v>
      </c>
      <c r="Q151" s="6">
        <v>0.0</v>
      </c>
      <c r="R151" s="6">
        <v>4.0</v>
      </c>
      <c r="S151" s="7"/>
      <c r="T151" s="6">
        <v>1.0</v>
      </c>
      <c r="U151" s="6">
        <v>2695.0</v>
      </c>
      <c r="V151" s="7"/>
      <c r="W151" s="7"/>
      <c r="X151" s="8">
        <f t="shared" si="1"/>
        <v>0.2857142857</v>
      </c>
      <c r="Y151" s="9">
        <f t="shared" si="2"/>
        <v>9</v>
      </c>
      <c r="Z151" s="8">
        <f t="shared" si="3"/>
        <v>1</v>
      </c>
      <c r="AA151" s="8">
        <f t="shared" si="4"/>
        <v>3.5</v>
      </c>
      <c r="AB151" s="8">
        <f t="shared" si="5"/>
        <v>0.5</v>
      </c>
      <c r="AC151" s="8">
        <f t="shared" si="6"/>
        <v>2</v>
      </c>
      <c r="AD151" s="8">
        <f t="shared" si="7"/>
        <v>7</v>
      </c>
      <c r="AE151" s="8">
        <f t="shared" si="8"/>
        <v>1</v>
      </c>
      <c r="AF151" s="8">
        <f t="shared" si="9"/>
        <v>2</v>
      </c>
      <c r="AG151" s="8">
        <f t="shared" si="10"/>
        <v>7</v>
      </c>
      <c r="AH151" s="8">
        <f t="shared" si="11"/>
        <v>1</v>
      </c>
      <c r="AI151" s="10">
        <f t="shared" si="12"/>
        <v>0.25</v>
      </c>
      <c r="AJ151" s="11">
        <f t="shared" si="13"/>
        <v>0.875</v>
      </c>
      <c r="AK151" s="12">
        <f t="shared" si="14"/>
        <v>0.125</v>
      </c>
    </row>
    <row r="152">
      <c r="A152" s="4" t="s">
        <v>219</v>
      </c>
      <c r="B152" s="4" t="s">
        <v>210</v>
      </c>
      <c r="C152" s="4" t="s">
        <v>91</v>
      </c>
      <c r="D152" s="6">
        <v>15.0</v>
      </c>
      <c r="E152" s="6">
        <v>2.0</v>
      </c>
      <c r="F152" s="6">
        <v>2.0</v>
      </c>
      <c r="G152" s="6">
        <v>15.0</v>
      </c>
      <c r="H152" s="6">
        <v>1.0</v>
      </c>
      <c r="I152" s="6">
        <v>1.0</v>
      </c>
      <c r="J152" s="6">
        <v>8.0</v>
      </c>
      <c r="K152" s="6">
        <v>490.0</v>
      </c>
      <c r="L152" s="4" t="s">
        <v>211</v>
      </c>
      <c r="M152" s="6">
        <v>180.0</v>
      </c>
      <c r="N152" s="6">
        <v>2.0</v>
      </c>
      <c r="O152" s="6">
        <v>10.0</v>
      </c>
      <c r="P152" s="6">
        <v>7.0</v>
      </c>
      <c r="Q152" s="6">
        <v>0.0</v>
      </c>
      <c r="R152" s="6">
        <v>4.0</v>
      </c>
      <c r="S152" s="7"/>
      <c r="T152" s="6">
        <v>1.0</v>
      </c>
      <c r="U152" s="6">
        <v>2695.0</v>
      </c>
      <c r="V152" s="7"/>
      <c r="W152" s="7"/>
      <c r="X152" s="8">
        <f t="shared" si="1"/>
        <v>0.2857142857</v>
      </c>
      <c r="Y152" s="9">
        <f t="shared" si="2"/>
        <v>9</v>
      </c>
      <c r="Z152" s="8">
        <f t="shared" si="3"/>
        <v>1</v>
      </c>
      <c r="AA152" s="8">
        <f t="shared" si="4"/>
        <v>3.5</v>
      </c>
      <c r="AB152" s="8">
        <f t="shared" si="5"/>
        <v>0.5</v>
      </c>
      <c r="AC152" s="8">
        <f t="shared" si="6"/>
        <v>2</v>
      </c>
      <c r="AD152" s="8">
        <f t="shared" si="7"/>
        <v>7</v>
      </c>
      <c r="AE152" s="8">
        <f t="shared" si="8"/>
        <v>1</v>
      </c>
      <c r="AF152" s="8">
        <f t="shared" si="9"/>
        <v>2</v>
      </c>
      <c r="AG152" s="8">
        <f t="shared" si="10"/>
        <v>7</v>
      </c>
      <c r="AH152" s="8">
        <f t="shared" si="11"/>
        <v>1</v>
      </c>
      <c r="AI152" s="10">
        <f t="shared" si="12"/>
        <v>0.25</v>
      </c>
      <c r="AJ152" s="11">
        <f t="shared" si="13"/>
        <v>0.875</v>
      </c>
      <c r="AK152" s="12">
        <f t="shared" si="14"/>
        <v>0.125</v>
      </c>
    </row>
    <row r="153">
      <c r="A153" s="4" t="s">
        <v>220</v>
      </c>
      <c r="B153" s="4" t="s">
        <v>210</v>
      </c>
      <c r="C153" s="4" t="s">
        <v>91</v>
      </c>
      <c r="D153" s="6">
        <v>15.0</v>
      </c>
      <c r="E153" s="6">
        <v>3.0</v>
      </c>
      <c r="F153" s="6">
        <v>3.0</v>
      </c>
      <c r="G153" s="6">
        <v>15.0</v>
      </c>
      <c r="H153" s="6">
        <v>1.0</v>
      </c>
      <c r="I153" s="6">
        <v>1.0</v>
      </c>
      <c r="J153" s="6">
        <v>9.0</v>
      </c>
      <c r="K153" s="6">
        <v>519.0</v>
      </c>
      <c r="L153" s="4" t="s">
        <v>211</v>
      </c>
      <c r="M153" s="6">
        <v>135.0</v>
      </c>
      <c r="N153" s="6">
        <v>2.0</v>
      </c>
      <c r="O153" s="6">
        <v>10.0</v>
      </c>
      <c r="P153" s="6">
        <v>7.0</v>
      </c>
      <c r="Q153" s="6">
        <v>0.0</v>
      </c>
      <c r="R153" s="6">
        <v>4.0</v>
      </c>
      <c r="S153" s="7"/>
      <c r="T153" s="6">
        <v>1.0</v>
      </c>
      <c r="U153" s="6">
        <v>3234.0</v>
      </c>
      <c r="V153" s="7"/>
      <c r="W153" s="7"/>
      <c r="X153" s="8">
        <f t="shared" si="1"/>
        <v>0.2857142857</v>
      </c>
      <c r="Y153" s="9">
        <f t="shared" si="2"/>
        <v>9</v>
      </c>
      <c r="Z153" s="8">
        <f t="shared" si="3"/>
        <v>0.6666666667</v>
      </c>
      <c r="AA153" s="8">
        <f t="shared" si="4"/>
        <v>2.333333333</v>
      </c>
      <c r="AB153" s="8">
        <f t="shared" si="5"/>
        <v>0.3333333333</v>
      </c>
      <c r="AC153" s="8">
        <f t="shared" si="6"/>
        <v>2</v>
      </c>
      <c r="AD153" s="8">
        <f t="shared" si="7"/>
        <v>7</v>
      </c>
      <c r="AE153" s="8">
        <f t="shared" si="8"/>
        <v>1</v>
      </c>
      <c r="AF153" s="8">
        <f t="shared" si="9"/>
        <v>2</v>
      </c>
      <c r="AG153" s="8">
        <f t="shared" si="10"/>
        <v>7</v>
      </c>
      <c r="AH153" s="8">
        <f t="shared" si="11"/>
        <v>1</v>
      </c>
      <c r="AI153" s="10">
        <f t="shared" si="12"/>
        <v>0.2222222222</v>
      </c>
      <c r="AJ153" s="11">
        <f t="shared" si="13"/>
        <v>0.7777777778</v>
      </c>
      <c r="AK153" s="12">
        <f t="shared" si="14"/>
        <v>0.1111111111</v>
      </c>
    </row>
    <row r="154">
      <c r="A154" s="4" t="s">
        <v>221</v>
      </c>
      <c r="B154" s="4" t="s">
        <v>210</v>
      </c>
      <c r="C154" s="4" t="s">
        <v>56</v>
      </c>
      <c r="D154" s="6">
        <v>32.0</v>
      </c>
      <c r="E154" s="6">
        <v>6.0</v>
      </c>
      <c r="F154" s="6">
        <v>6.0</v>
      </c>
      <c r="G154" s="6">
        <v>32.0</v>
      </c>
      <c r="H154" s="6">
        <v>1.0</v>
      </c>
      <c r="I154" s="6">
        <v>1.0</v>
      </c>
      <c r="J154" s="6">
        <v>19.0</v>
      </c>
      <c r="K154" s="6">
        <v>721.0</v>
      </c>
      <c r="L154" s="4" t="s">
        <v>211</v>
      </c>
      <c r="M154" s="6">
        <v>180.0</v>
      </c>
      <c r="N154" s="6">
        <v>6.0</v>
      </c>
      <c r="O154" s="6">
        <v>40.0</v>
      </c>
      <c r="P154" s="6">
        <v>9.0</v>
      </c>
      <c r="Q154" s="6">
        <v>0.0</v>
      </c>
      <c r="R154" s="6">
        <v>4.0</v>
      </c>
      <c r="S154" s="7"/>
      <c r="T154" s="6">
        <v>1.0</v>
      </c>
      <c r="U154" s="6">
        <v>2460.0</v>
      </c>
      <c r="V154" s="7"/>
      <c r="W154" s="7"/>
      <c r="X154" s="8">
        <f t="shared" si="1"/>
        <v>0.6666666667</v>
      </c>
      <c r="Y154" s="9">
        <f t="shared" si="2"/>
        <v>15</v>
      </c>
      <c r="Z154" s="8">
        <f t="shared" si="3"/>
        <v>1</v>
      </c>
      <c r="AA154" s="8">
        <f t="shared" si="4"/>
        <v>1.5</v>
      </c>
      <c r="AB154" s="8">
        <f t="shared" si="5"/>
        <v>0.1666666667</v>
      </c>
      <c r="AC154" s="8">
        <f t="shared" si="6"/>
        <v>6</v>
      </c>
      <c r="AD154" s="8">
        <f t="shared" si="7"/>
        <v>9</v>
      </c>
      <c r="AE154" s="8">
        <f t="shared" si="8"/>
        <v>1</v>
      </c>
      <c r="AF154" s="8">
        <f t="shared" si="9"/>
        <v>6</v>
      </c>
      <c r="AG154" s="8">
        <f t="shared" si="10"/>
        <v>9</v>
      </c>
      <c r="AH154" s="8">
        <f t="shared" si="11"/>
        <v>1</v>
      </c>
      <c r="AI154" s="10">
        <f t="shared" si="12"/>
        <v>0.3157894737</v>
      </c>
      <c r="AJ154" s="11">
        <f t="shared" si="13"/>
        <v>0.4736842105</v>
      </c>
      <c r="AK154" s="12">
        <f t="shared" si="14"/>
        <v>0.05263157895</v>
      </c>
    </row>
    <row r="155">
      <c r="A155" s="4" t="s">
        <v>221</v>
      </c>
      <c r="B155" s="4" t="s">
        <v>210</v>
      </c>
      <c r="C155" s="4" t="s">
        <v>92</v>
      </c>
      <c r="D155" s="6">
        <v>33.0</v>
      </c>
      <c r="E155" s="6">
        <v>7.0</v>
      </c>
      <c r="F155" s="6">
        <v>7.0</v>
      </c>
      <c r="G155" s="6">
        <v>33.0</v>
      </c>
      <c r="H155" s="6">
        <v>2.0</v>
      </c>
      <c r="I155" s="6">
        <v>1.0</v>
      </c>
      <c r="J155" s="6">
        <v>19.0</v>
      </c>
      <c r="K155" s="6">
        <v>564.0</v>
      </c>
      <c r="L155" s="4" t="s">
        <v>211</v>
      </c>
      <c r="M155" s="6">
        <v>180.0</v>
      </c>
      <c r="N155" s="6">
        <v>4.0</v>
      </c>
      <c r="O155" s="6">
        <v>30.0</v>
      </c>
      <c r="P155" s="6">
        <v>9.0</v>
      </c>
      <c r="Q155" s="6">
        <v>0.0</v>
      </c>
      <c r="R155" s="6">
        <v>4.0</v>
      </c>
      <c r="S155" s="7"/>
      <c r="T155" s="6">
        <v>1.0</v>
      </c>
      <c r="U155" s="6">
        <v>2460.0</v>
      </c>
      <c r="V155" s="7"/>
      <c r="W155" s="7"/>
      <c r="X155" s="8">
        <f t="shared" si="1"/>
        <v>0.4444444444</v>
      </c>
      <c r="Y155" s="9">
        <f t="shared" si="2"/>
        <v>13</v>
      </c>
      <c r="Z155" s="8">
        <f t="shared" si="3"/>
        <v>0.5714285714</v>
      </c>
      <c r="AA155" s="8">
        <f t="shared" si="4"/>
        <v>1.285714286</v>
      </c>
      <c r="AB155" s="8">
        <f t="shared" si="5"/>
        <v>0.1428571429</v>
      </c>
      <c r="AC155" s="8">
        <f t="shared" si="6"/>
        <v>4</v>
      </c>
      <c r="AD155" s="8">
        <f t="shared" si="7"/>
        <v>9</v>
      </c>
      <c r="AE155" s="8">
        <f t="shared" si="8"/>
        <v>1</v>
      </c>
      <c r="AF155" s="8">
        <f t="shared" si="9"/>
        <v>2</v>
      </c>
      <c r="AG155" s="8">
        <f t="shared" si="10"/>
        <v>4.5</v>
      </c>
      <c r="AH155" s="8">
        <f t="shared" si="11"/>
        <v>0.5</v>
      </c>
      <c r="AI155" s="10">
        <f t="shared" si="12"/>
        <v>0.2105263158</v>
      </c>
      <c r="AJ155" s="11">
        <f t="shared" si="13"/>
        <v>0.4736842105</v>
      </c>
      <c r="AK155" s="12">
        <f t="shared" si="14"/>
        <v>0.05263157895</v>
      </c>
    </row>
    <row r="156">
      <c r="A156" s="4" t="s">
        <v>222</v>
      </c>
      <c r="B156" s="4" t="s">
        <v>210</v>
      </c>
      <c r="C156" s="4" t="s">
        <v>56</v>
      </c>
      <c r="D156" s="6">
        <v>34.0</v>
      </c>
      <c r="E156" s="6">
        <v>7.0</v>
      </c>
      <c r="F156" s="6">
        <v>7.0</v>
      </c>
      <c r="G156" s="6">
        <v>34.0</v>
      </c>
      <c r="H156" s="6">
        <v>1.0</v>
      </c>
      <c r="I156" s="6">
        <v>1.0</v>
      </c>
      <c r="J156" s="6">
        <v>22.0</v>
      </c>
      <c r="K156" s="6">
        <v>721.0</v>
      </c>
      <c r="L156" s="4" t="s">
        <v>211</v>
      </c>
      <c r="M156" s="6">
        <v>239.0</v>
      </c>
      <c r="N156" s="6">
        <v>6.0</v>
      </c>
      <c r="O156" s="6">
        <v>40.0</v>
      </c>
      <c r="P156" s="6">
        <v>9.0</v>
      </c>
      <c r="Q156" s="6">
        <v>0.0</v>
      </c>
      <c r="R156" s="6">
        <v>4.0</v>
      </c>
      <c r="S156" s="7"/>
      <c r="T156" s="6">
        <v>1.0</v>
      </c>
      <c r="U156" s="6">
        <v>2460.0</v>
      </c>
      <c r="V156" s="7"/>
      <c r="W156" s="7"/>
      <c r="X156" s="8">
        <f t="shared" si="1"/>
        <v>0.6666666667</v>
      </c>
      <c r="Y156" s="9">
        <f t="shared" si="2"/>
        <v>15</v>
      </c>
      <c r="Z156" s="8">
        <f t="shared" si="3"/>
        <v>0.8571428571</v>
      </c>
      <c r="AA156" s="8">
        <f t="shared" si="4"/>
        <v>1.285714286</v>
      </c>
      <c r="AB156" s="8">
        <f t="shared" si="5"/>
        <v>0.1428571429</v>
      </c>
      <c r="AC156" s="8">
        <f t="shared" si="6"/>
        <v>6</v>
      </c>
      <c r="AD156" s="8">
        <f t="shared" si="7"/>
        <v>9</v>
      </c>
      <c r="AE156" s="8">
        <f t="shared" si="8"/>
        <v>1</v>
      </c>
      <c r="AF156" s="8">
        <f t="shared" si="9"/>
        <v>6</v>
      </c>
      <c r="AG156" s="8">
        <f t="shared" si="10"/>
        <v>9</v>
      </c>
      <c r="AH156" s="8">
        <f t="shared" si="11"/>
        <v>1</v>
      </c>
      <c r="AI156" s="10">
        <f t="shared" si="12"/>
        <v>0.2727272727</v>
      </c>
      <c r="AJ156" s="11">
        <f t="shared" si="13"/>
        <v>0.4090909091</v>
      </c>
      <c r="AK156" s="12">
        <f t="shared" si="14"/>
        <v>0.04545454545</v>
      </c>
    </row>
    <row r="157">
      <c r="A157" s="4" t="s">
        <v>223</v>
      </c>
      <c r="B157" s="4" t="s">
        <v>210</v>
      </c>
      <c r="C157" s="4" t="s">
        <v>56</v>
      </c>
      <c r="D157" s="6">
        <v>39.0</v>
      </c>
      <c r="E157" s="6">
        <v>7.0</v>
      </c>
      <c r="F157" s="6">
        <v>7.0</v>
      </c>
      <c r="G157" s="6">
        <v>39.0</v>
      </c>
      <c r="H157" s="6">
        <v>1.0</v>
      </c>
      <c r="I157" s="6">
        <v>1.0</v>
      </c>
      <c r="J157" s="6">
        <v>25.0</v>
      </c>
      <c r="K157" s="6">
        <v>765.0</v>
      </c>
      <c r="L157" s="4" t="s">
        <v>211</v>
      </c>
      <c r="M157" s="6">
        <v>195.0</v>
      </c>
      <c r="N157" s="6">
        <v>6.0</v>
      </c>
      <c r="O157" s="6">
        <v>40.0</v>
      </c>
      <c r="P157" s="6">
        <v>9.0</v>
      </c>
      <c r="Q157" s="6">
        <v>0.0</v>
      </c>
      <c r="R157" s="6">
        <v>4.0</v>
      </c>
      <c r="S157" s="7"/>
      <c r="T157" s="6">
        <v>1.0</v>
      </c>
      <c r="U157" s="6">
        <v>2953.0</v>
      </c>
      <c r="V157" s="7"/>
      <c r="W157" s="7"/>
      <c r="X157" s="8">
        <f t="shared" si="1"/>
        <v>0.6666666667</v>
      </c>
      <c r="Y157" s="9">
        <f t="shared" si="2"/>
        <v>15</v>
      </c>
      <c r="Z157" s="8">
        <f t="shared" si="3"/>
        <v>0.8571428571</v>
      </c>
      <c r="AA157" s="8">
        <f t="shared" si="4"/>
        <v>1.285714286</v>
      </c>
      <c r="AB157" s="8">
        <f t="shared" si="5"/>
        <v>0.1428571429</v>
      </c>
      <c r="AC157" s="8">
        <f t="shared" si="6"/>
        <v>6</v>
      </c>
      <c r="AD157" s="8">
        <f t="shared" si="7"/>
        <v>9</v>
      </c>
      <c r="AE157" s="8">
        <f t="shared" si="8"/>
        <v>1</v>
      </c>
      <c r="AF157" s="8">
        <f t="shared" si="9"/>
        <v>6</v>
      </c>
      <c r="AG157" s="8">
        <f t="shared" si="10"/>
        <v>9</v>
      </c>
      <c r="AH157" s="8">
        <f t="shared" si="11"/>
        <v>1</v>
      </c>
      <c r="AI157" s="10">
        <f t="shared" si="12"/>
        <v>0.24</v>
      </c>
      <c r="AJ157" s="11">
        <f t="shared" si="13"/>
        <v>0.36</v>
      </c>
      <c r="AK157" s="12">
        <f t="shared" si="14"/>
        <v>0.04</v>
      </c>
    </row>
    <row r="158">
      <c r="A158" s="4" t="s">
        <v>224</v>
      </c>
      <c r="B158" s="4" t="s">
        <v>210</v>
      </c>
      <c r="C158" s="4" t="s">
        <v>92</v>
      </c>
      <c r="D158" s="6">
        <v>34.0</v>
      </c>
      <c r="E158" s="6">
        <v>7.0</v>
      </c>
      <c r="F158" s="6">
        <v>7.0</v>
      </c>
      <c r="G158" s="6">
        <v>34.0</v>
      </c>
      <c r="H158" s="6">
        <v>2.0</v>
      </c>
      <c r="I158" s="6">
        <v>1.0</v>
      </c>
      <c r="J158" s="6">
        <v>21.0</v>
      </c>
      <c r="K158" s="6">
        <v>564.0</v>
      </c>
      <c r="L158" s="4" t="s">
        <v>211</v>
      </c>
      <c r="M158" s="6">
        <v>210.0</v>
      </c>
      <c r="N158" s="6">
        <v>4.0</v>
      </c>
      <c r="O158" s="6">
        <v>30.0</v>
      </c>
      <c r="P158" s="6">
        <v>9.0</v>
      </c>
      <c r="Q158" s="6">
        <v>1.0</v>
      </c>
      <c r="R158" s="6">
        <v>4.0</v>
      </c>
      <c r="S158" s="7"/>
      <c r="T158" s="6">
        <v>1.0</v>
      </c>
      <c r="U158" s="6">
        <v>2460.0</v>
      </c>
      <c r="V158" s="7"/>
      <c r="W158" s="7"/>
      <c r="X158" s="8">
        <f t="shared" si="1"/>
        <v>0.4444444444</v>
      </c>
      <c r="Y158" s="9">
        <f t="shared" si="2"/>
        <v>13</v>
      </c>
      <c r="Z158" s="8">
        <f t="shared" si="3"/>
        <v>0.5714285714</v>
      </c>
      <c r="AA158" s="8">
        <f t="shared" si="4"/>
        <v>1.285714286</v>
      </c>
      <c r="AB158" s="8">
        <f t="shared" si="5"/>
        <v>0.1428571429</v>
      </c>
      <c r="AC158" s="8">
        <f t="shared" si="6"/>
        <v>4</v>
      </c>
      <c r="AD158" s="8">
        <f t="shared" si="7"/>
        <v>9</v>
      </c>
      <c r="AE158" s="8">
        <f t="shared" si="8"/>
        <v>1</v>
      </c>
      <c r="AF158" s="8">
        <f t="shared" si="9"/>
        <v>2</v>
      </c>
      <c r="AG158" s="8">
        <f t="shared" si="10"/>
        <v>4.5</v>
      </c>
      <c r="AH158" s="8">
        <f t="shared" si="11"/>
        <v>0.5</v>
      </c>
      <c r="AI158" s="10">
        <f t="shared" si="12"/>
        <v>0.1904761905</v>
      </c>
      <c r="AJ158" s="11">
        <f t="shared" si="13"/>
        <v>0.4285714286</v>
      </c>
      <c r="AK158" s="12">
        <f t="shared" si="14"/>
        <v>0.04761904762</v>
      </c>
    </row>
    <row r="159">
      <c r="A159" s="4" t="s">
        <v>224</v>
      </c>
      <c r="B159" s="4" t="s">
        <v>210</v>
      </c>
      <c r="C159" s="4" t="s">
        <v>91</v>
      </c>
      <c r="D159" s="6">
        <v>16.0</v>
      </c>
      <c r="E159" s="6">
        <v>3.0</v>
      </c>
      <c r="F159" s="6">
        <v>3.0</v>
      </c>
      <c r="G159" s="6">
        <v>16.0</v>
      </c>
      <c r="H159" s="6">
        <v>1.0</v>
      </c>
      <c r="I159" s="6">
        <v>1.0</v>
      </c>
      <c r="J159" s="6">
        <v>9.0</v>
      </c>
      <c r="K159" s="6">
        <v>531.0</v>
      </c>
      <c r="L159" s="4" t="s">
        <v>211</v>
      </c>
      <c r="M159" s="6">
        <v>210.0</v>
      </c>
      <c r="N159" s="6">
        <v>3.0</v>
      </c>
      <c r="O159" s="6">
        <v>20.0</v>
      </c>
      <c r="P159" s="6">
        <v>9.0</v>
      </c>
      <c r="Q159" s="6">
        <v>1.0</v>
      </c>
      <c r="R159" s="6">
        <v>4.0</v>
      </c>
      <c r="S159" s="7"/>
      <c r="T159" s="6">
        <v>1.0</v>
      </c>
      <c r="U159" s="6">
        <v>1875.0</v>
      </c>
      <c r="V159" s="7"/>
      <c r="W159" s="7"/>
      <c r="X159" s="8">
        <f t="shared" si="1"/>
        <v>0.3333333333</v>
      </c>
      <c r="Y159" s="9">
        <f t="shared" si="2"/>
        <v>12</v>
      </c>
      <c r="Z159" s="8">
        <f t="shared" si="3"/>
        <v>1</v>
      </c>
      <c r="AA159" s="8">
        <f t="shared" si="4"/>
        <v>3</v>
      </c>
      <c r="AB159" s="8">
        <f t="shared" si="5"/>
        <v>0.3333333333</v>
      </c>
      <c r="AC159" s="8">
        <f t="shared" si="6"/>
        <v>3</v>
      </c>
      <c r="AD159" s="8">
        <f t="shared" si="7"/>
        <v>9</v>
      </c>
      <c r="AE159" s="8">
        <f t="shared" si="8"/>
        <v>1</v>
      </c>
      <c r="AF159" s="8">
        <f t="shared" si="9"/>
        <v>3</v>
      </c>
      <c r="AG159" s="8">
        <f t="shared" si="10"/>
        <v>9</v>
      </c>
      <c r="AH159" s="8">
        <f t="shared" si="11"/>
        <v>1</v>
      </c>
      <c r="AI159" s="10">
        <f t="shared" si="12"/>
        <v>0.3333333333</v>
      </c>
      <c r="AJ159" s="11">
        <f t="shared" si="13"/>
        <v>1</v>
      </c>
      <c r="AK159" s="12">
        <f t="shared" si="14"/>
        <v>0.1111111111</v>
      </c>
    </row>
    <row r="160">
      <c r="A160" s="4" t="s">
        <v>225</v>
      </c>
      <c r="B160" s="4" t="s">
        <v>210</v>
      </c>
      <c r="C160" s="4" t="s">
        <v>49</v>
      </c>
      <c r="D160" s="6">
        <v>78.0</v>
      </c>
      <c r="E160" s="6">
        <v>17.0</v>
      </c>
      <c r="F160" s="6">
        <v>17.0</v>
      </c>
      <c r="G160" s="6">
        <v>78.0</v>
      </c>
      <c r="H160" s="6">
        <v>1.0</v>
      </c>
      <c r="I160" s="6">
        <v>32.0</v>
      </c>
      <c r="J160" s="6">
        <v>47.0</v>
      </c>
      <c r="K160" s="6">
        <v>580.0</v>
      </c>
      <c r="L160" s="4" t="s">
        <v>211</v>
      </c>
      <c r="M160" s="6">
        <v>165.0</v>
      </c>
      <c r="N160" s="6">
        <v>8.0</v>
      </c>
      <c r="O160" s="6">
        <v>120.0</v>
      </c>
      <c r="P160" s="6">
        <v>9.0</v>
      </c>
      <c r="Q160" s="6">
        <v>1.0</v>
      </c>
      <c r="R160" s="6">
        <v>8.0</v>
      </c>
      <c r="S160" s="7"/>
      <c r="T160" s="6">
        <v>9.0</v>
      </c>
      <c r="U160" s="6">
        <v>2109.0</v>
      </c>
      <c r="V160" s="7"/>
      <c r="W160" s="7"/>
      <c r="X160" s="8">
        <f t="shared" si="1"/>
        <v>0.8888888889</v>
      </c>
      <c r="Y160" s="9">
        <f t="shared" si="2"/>
        <v>17</v>
      </c>
      <c r="Z160" s="8">
        <f t="shared" si="3"/>
        <v>0.4705882353</v>
      </c>
      <c r="AA160" s="8">
        <f t="shared" si="4"/>
        <v>0.5294117647</v>
      </c>
      <c r="AB160" s="8">
        <f t="shared" si="5"/>
        <v>0.5294117647</v>
      </c>
      <c r="AC160" s="8">
        <f t="shared" si="6"/>
        <v>0.25</v>
      </c>
      <c r="AD160" s="8">
        <f t="shared" si="7"/>
        <v>0.28125</v>
      </c>
      <c r="AE160" s="8">
        <f t="shared" si="8"/>
        <v>0.28125</v>
      </c>
      <c r="AF160" s="8">
        <f t="shared" si="9"/>
        <v>8</v>
      </c>
      <c r="AG160" s="8">
        <f t="shared" si="10"/>
        <v>9</v>
      </c>
      <c r="AH160" s="8">
        <f t="shared" si="11"/>
        <v>9</v>
      </c>
      <c r="AI160" s="10">
        <f t="shared" si="12"/>
        <v>0.170212766</v>
      </c>
      <c r="AJ160" s="11">
        <f t="shared" si="13"/>
        <v>0.1914893617</v>
      </c>
      <c r="AK160" s="12">
        <f t="shared" si="14"/>
        <v>0.1914893617</v>
      </c>
    </row>
    <row r="161">
      <c r="A161" s="4" t="s">
        <v>226</v>
      </c>
      <c r="B161" s="4" t="s">
        <v>210</v>
      </c>
      <c r="C161" s="4" t="s">
        <v>70</v>
      </c>
      <c r="D161" s="6">
        <v>31.0</v>
      </c>
      <c r="E161" s="6">
        <v>13.0</v>
      </c>
      <c r="F161" s="6">
        <v>6.0</v>
      </c>
      <c r="G161" s="6">
        <v>124.0</v>
      </c>
      <c r="H161" s="6">
        <v>0.0</v>
      </c>
      <c r="I161" s="6">
        <v>1.0</v>
      </c>
      <c r="J161" s="6">
        <v>38.0</v>
      </c>
      <c r="K161" s="6">
        <v>510.0</v>
      </c>
      <c r="L161" s="4" t="s">
        <v>211</v>
      </c>
      <c r="M161" s="6">
        <v>105.0</v>
      </c>
      <c r="N161" s="6">
        <v>3.0</v>
      </c>
      <c r="O161" s="6">
        <v>20.0</v>
      </c>
      <c r="P161" s="6">
        <v>6.0</v>
      </c>
      <c r="Q161" s="6">
        <v>0.0</v>
      </c>
      <c r="R161" s="6">
        <v>4.0</v>
      </c>
      <c r="S161" s="7"/>
      <c r="T161" s="6">
        <v>4.0</v>
      </c>
      <c r="U161" s="6">
        <v>2929.0</v>
      </c>
      <c r="V161" s="7"/>
      <c r="W161" s="7"/>
      <c r="X161" s="8">
        <f t="shared" si="1"/>
        <v>0.5</v>
      </c>
      <c r="Y161" s="9">
        <f t="shared" si="2"/>
        <v>9</v>
      </c>
      <c r="Z161" s="8">
        <f t="shared" si="3"/>
        <v>0.2307692308</v>
      </c>
      <c r="AA161" s="8">
        <f t="shared" si="4"/>
        <v>0.4615384615</v>
      </c>
      <c r="AB161" s="8">
        <f t="shared" si="5"/>
        <v>0.3076923077</v>
      </c>
      <c r="AC161" s="8">
        <f t="shared" si="6"/>
        <v>3</v>
      </c>
      <c r="AD161" s="8">
        <f t="shared" si="7"/>
        <v>6</v>
      </c>
      <c r="AE161" s="8">
        <f t="shared" si="8"/>
        <v>4</v>
      </c>
      <c r="AF161" s="8" t="str">
        <f t="shared" si="9"/>
        <v>#DIV/0!</v>
      </c>
      <c r="AG161" s="8" t="str">
        <f t="shared" si="10"/>
        <v>#DIV/0!</v>
      </c>
      <c r="AH161" s="8" t="str">
        <f t="shared" si="11"/>
        <v>#DIV/0!</v>
      </c>
      <c r="AI161" s="10">
        <f t="shared" si="12"/>
        <v>0.07894736842</v>
      </c>
      <c r="AJ161" s="11">
        <f t="shared" si="13"/>
        <v>0.1578947368</v>
      </c>
      <c r="AK161" s="12">
        <f t="shared" si="14"/>
        <v>0.1052631579</v>
      </c>
    </row>
    <row r="162">
      <c r="A162" s="4" t="s">
        <v>227</v>
      </c>
      <c r="B162" s="4" t="s">
        <v>210</v>
      </c>
      <c r="C162" s="4" t="s">
        <v>92</v>
      </c>
      <c r="D162" s="6">
        <v>25.0</v>
      </c>
      <c r="E162" s="6">
        <v>5.0</v>
      </c>
      <c r="F162" s="6">
        <v>5.0</v>
      </c>
      <c r="G162" s="6">
        <v>25.0</v>
      </c>
      <c r="H162" s="6">
        <v>2.0</v>
      </c>
      <c r="I162" s="6">
        <v>1.0</v>
      </c>
      <c r="J162" s="6">
        <v>14.0</v>
      </c>
      <c r="K162" s="6">
        <v>549.0</v>
      </c>
      <c r="L162" s="4" t="s">
        <v>211</v>
      </c>
      <c r="M162" s="6">
        <v>105.0</v>
      </c>
      <c r="N162" s="6">
        <v>2.0</v>
      </c>
      <c r="O162" s="6">
        <v>20.0</v>
      </c>
      <c r="P162" s="6">
        <v>6.0</v>
      </c>
      <c r="Q162" s="6">
        <v>0.0</v>
      </c>
      <c r="R162" s="6">
        <v>4.0</v>
      </c>
      <c r="S162" s="7"/>
      <c r="T162" s="6">
        <v>1.0</v>
      </c>
      <c r="U162" s="6">
        <v>2578.0</v>
      </c>
      <c r="V162" s="7"/>
      <c r="W162" s="7"/>
      <c r="X162" s="8">
        <f t="shared" si="1"/>
        <v>0.3333333333</v>
      </c>
      <c r="Y162" s="9">
        <f t="shared" si="2"/>
        <v>8</v>
      </c>
      <c r="Z162" s="8">
        <f t="shared" si="3"/>
        <v>0.4</v>
      </c>
      <c r="AA162" s="8">
        <f t="shared" si="4"/>
        <v>1.2</v>
      </c>
      <c r="AB162" s="8">
        <f t="shared" si="5"/>
        <v>0.2</v>
      </c>
      <c r="AC162" s="8">
        <f t="shared" si="6"/>
        <v>2</v>
      </c>
      <c r="AD162" s="8">
        <f t="shared" si="7"/>
        <v>6</v>
      </c>
      <c r="AE162" s="8">
        <f t="shared" si="8"/>
        <v>1</v>
      </c>
      <c r="AF162" s="8">
        <f t="shared" si="9"/>
        <v>1</v>
      </c>
      <c r="AG162" s="8">
        <f t="shared" si="10"/>
        <v>3</v>
      </c>
      <c r="AH162" s="8">
        <f t="shared" si="11"/>
        <v>0.5</v>
      </c>
      <c r="AI162" s="10">
        <f t="shared" si="12"/>
        <v>0.1428571429</v>
      </c>
      <c r="AJ162" s="11">
        <f t="shared" si="13"/>
        <v>0.4285714286</v>
      </c>
      <c r="AK162" s="12">
        <f t="shared" si="14"/>
        <v>0.07142857143</v>
      </c>
    </row>
    <row r="163">
      <c r="A163" s="4" t="s">
        <v>227</v>
      </c>
      <c r="B163" s="4" t="s">
        <v>210</v>
      </c>
      <c r="C163" s="4" t="s">
        <v>64</v>
      </c>
      <c r="D163" s="6">
        <v>25.0</v>
      </c>
      <c r="E163" s="6">
        <v>5.0</v>
      </c>
      <c r="F163" s="6">
        <v>5.0</v>
      </c>
      <c r="G163" s="6">
        <v>25.0</v>
      </c>
      <c r="H163" s="6">
        <v>1.0</v>
      </c>
      <c r="I163" s="6">
        <v>1.0</v>
      </c>
      <c r="J163" s="6">
        <v>14.0</v>
      </c>
      <c r="K163" s="6">
        <v>422.0</v>
      </c>
      <c r="L163" s="4" t="s">
        <v>211</v>
      </c>
      <c r="M163" s="6">
        <v>105.0</v>
      </c>
      <c r="N163" s="6">
        <v>2.0</v>
      </c>
      <c r="O163" s="6">
        <v>20.0</v>
      </c>
      <c r="P163" s="6">
        <v>6.0</v>
      </c>
      <c r="Q163" s="6">
        <v>0.0</v>
      </c>
      <c r="R163" s="6">
        <v>4.0</v>
      </c>
      <c r="S163" s="7"/>
      <c r="T163" s="6">
        <v>1.0</v>
      </c>
      <c r="U163" s="6">
        <v>2578.0</v>
      </c>
      <c r="V163" s="7"/>
      <c r="W163" s="7"/>
      <c r="X163" s="8">
        <f t="shared" si="1"/>
        <v>0.3333333333</v>
      </c>
      <c r="Y163" s="9">
        <f t="shared" si="2"/>
        <v>8</v>
      </c>
      <c r="Z163" s="8">
        <f t="shared" si="3"/>
        <v>0.4</v>
      </c>
      <c r="AA163" s="8">
        <f t="shared" si="4"/>
        <v>1.2</v>
      </c>
      <c r="AB163" s="8">
        <f t="shared" si="5"/>
        <v>0.2</v>
      </c>
      <c r="AC163" s="8">
        <f t="shared" si="6"/>
        <v>2</v>
      </c>
      <c r="AD163" s="8">
        <f t="shared" si="7"/>
        <v>6</v>
      </c>
      <c r="AE163" s="8">
        <f t="shared" si="8"/>
        <v>1</v>
      </c>
      <c r="AF163" s="8">
        <f t="shared" si="9"/>
        <v>2</v>
      </c>
      <c r="AG163" s="8">
        <f t="shared" si="10"/>
        <v>6</v>
      </c>
      <c r="AH163" s="8">
        <f t="shared" si="11"/>
        <v>1</v>
      </c>
      <c r="AI163" s="10">
        <f t="shared" si="12"/>
        <v>0.1428571429</v>
      </c>
      <c r="AJ163" s="11">
        <f t="shared" si="13"/>
        <v>0.4285714286</v>
      </c>
      <c r="AK163" s="12">
        <f t="shared" si="14"/>
        <v>0.07142857143</v>
      </c>
    </row>
    <row r="164">
      <c r="A164" s="4" t="s">
        <v>228</v>
      </c>
      <c r="B164" s="4" t="s">
        <v>210</v>
      </c>
      <c r="C164" s="4" t="s">
        <v>64</v>
      </c>
      <c r="D164" s="6">
        <v>29.0</v>
      </c>
      <c r="E164" s="6">
        <v>6.0</v>
      </c>
      <c r="F164" s="6">
        <v>6.0</v>
      </c>
      <c r="G164" s="6">
        <v>29.0</v>
      </c>
      <c r="H164" s="6">
        <v>1.0</v>
      </c>
      <c r="I164" s="6">
        <v>1.0</v>
      </c>
      <c r="J164" s="6">
        <v>18.0</v>
      </c>
      <c r="K164" s="6">
        <v>422.0</v>
      </c>
      <c r="L164" s="4" t="s">
        <v>211</v>
      </c>
      <c r="M164" s="6">
        <v>160.0</v>
      </c>
      <c r="N164" s="6">
        <v>2.0</v>
      </c>
      <c r="O164" s="6">
        <v>20.0</v>
      </c>
      <c r="P164" s="6">
        <v>6.0</v>
      </c>
      <c r="Q164" s="6">
        <v>0.0</v>
      </c>
      <c r="R164" s="6">
        <v>4.0</v>
      </c>
      <c r="S164" s="7"/>
      <c r="T164" s="6">
        <v>1.0</v>
      </c>
      <c r="U164" s="6">
        <v>2578.0</v>
      </c>
      <c r="V164" s="7"/>
      <c r="W164" s="7"/>
      <c r="X164" s="8">
        <f t="shared" si="1"/>
        <v>0.3333333333</v>
      </c>
      <c r="Y164" s="9">
        <f t="shared" si="2"/>
        <v>8</v>
      </c>
      <c r="Z164" s="8">
        <f t="shared" si="3"/>
        <v>0.3333333333</v>
      </c>
      <c r="AA164" s="8">
        <f t="shared" si="4"/>
        <v>1</v>
      </c>
      <c r="AB164" s="8">
        <f t="shared" si="5"/>
        <v>0.1666666667</v>
      </c>
      <c r="AC164" s="8">
        <f t="shared" si="6"/>
        <v>2</v>
      </c>
      <c r="AD164" s="8">
        <f t="shared" si="7"/>
        <v>6</v>
      </c>
      <c r="AE164" s="8">
        <f t="shared" si="8"/>
        <v>1</v>
      </c>
      <c r="AF164" s="8">
        <f t="shared" si="9"/>
        <v>2</v>
      </c>
      <c r="AG164" s="8">
        <f t="shared" si="10"/>
        <v>6</v>
      </c>
      <c r="AH164" s="8">
        <f t="shared" si="11"/>
        <v>1</v>
      </c>
      <c r="AI164" s="10">
        <f t="shared" si="12"/>
        <v>0.1111111111</v>
      </c>
      <c r="AJ164" s="11">
        <f t="shared" si="13"/>
        <v>0.3333333333</v>
      </c>
      <c r="AK164" s="12">
        <f t="shared" si="14"/>
        <v>0.05555555556</v>
      </c>
    </row>
    <row r="165">
      <c r="A165" s="4" t="s">
        <v>229</v>
      </c>
      <c r="B165" s="4" t="s">
        <v>210</v>
      </c>
      <c r="C165" s="4" t="s">
        <v>64</v>
      </c>
      <c r="D165" s="6">
        <v>34.0</v>
      </c>
      <c r="E165" s="6">
        <v>7.0</v>
      </c>
      <c r="F165" s="6">
        <v>7.0</v>
      </c>
      <c r="G165" s="6">
        <v>34.0</v>
      </c>
      <c r="H165" s="6">
        <v>1.0</v>
      </c>
      <c r="I165" s="6">
        <v>1.0</v>
      </c>
      <c r="J165" s="6">
        <v>21.0</v>
      </c>
      <c r="K165" s="6">
        <v>448.0</v>
      </c>
      <c r="L165" s="4" t="s">
        <v>211</v>
      </c>
      <c r="M165" s="6">
        <v>150.0</v>
      </c>
      <c r="N165" s="6">
        <v>2.0</v>
      </c>
      <c r="O165" s="6">
        <v>20.0</v>
      </c>
      <c r="P165" s="6">
        <v>6.0</v>
      </c>
      <c r="Q165" s="6">
        <v>0.0</v>
      </c>
      <c r="R165" s="6">
        <v>4.0</v>
      </c>
      <c r="S165" s="7"/>
      <c r="T165" s="6">
        <v>1.0</v>
      </c>
      <c r="U165" s="6">
        <v>3093.0</v>
      </c>
      <c r="V165" s="7"/>
      <c r="W165" s="7"/>
      <c r="X165" s="8">
        <f t="shared" si="1"/>
        <v>0.3333333333</v>
      </c>
      <c r="Y165" s="9">
        <f t="shared" si="2"/>
        <v>8</v>
      </c>
      <c r="Z165" s="8">
        <f t="shared" si="3"/>
        <v>0.2857142857</v>
      </c>
      <c r="AA165" s="8">
        <f t="shared" si="4"/>
        <v>0.8571428571</v>
      </c>
      <c r="AB165" s="8">
        <f t="shared" si="5"/>
        <v>0.1428571429</v>
      </c>
      <c r="AC165" s="8">
        <f t="shared" si="6"/>
        <v>2</v>
      </c>
      <c r="AD165" s="8">
        <f t="shared" si="7"/>
        <v>6</v>
      </c>
      <c r="AE165" s="8">
        <f t="shared" si="8"/>
        <v>1</v>
      </c>
      <c r="AF165" s="8">
        <f t="shared" si="9"/>
        <v>2</v>
      </c>
      <c r="AG165" s="8">
        <f t="shared" si="10"/>
        <v>6</v>
      </c>
      <c r="AH165" s="8">
        <f t="shared" si="11"/>
        <v>1</v>
      </c>
      <c r="AI165" s="10">
        <f t="shared" si="12"/>
        <v>0.09523809524</v>
      </c>
      <c r="AJ165" s="11">
        <f t="shared" si="13"/>
        <v>0.2857142857</v>
      </c>
      <c r="AK165" s="12">
        <f t="shared" si="14"/>
        <v>0.04761904762</v>
      </c>
    </row>
    <row r="166">
      <c r="A166" s="4" t="s">
        <v>230</v>
      </c>
      <c r="B166" s="4" t="s">
        <v>210</v>
      </c>
      <c r="C166" s="4" t="s">
        <v>60</v>
      </c>
      <c r="D166" s="6">
        <v>27.0</v>
      </c>
      <c r="E166" s="6">
        <v>6.0</v>
      </c>
      <c r="F166" s="6">
        <v>6.0</v>
      </c>
      <c r="G166" s="6">
        <v>27.0</v>
      </c>
      <c r="H166" s="6">
        <v>1.0</v>
      </c>
      <c r="I166" s="6">
        <v>1.0</v>
      </c>
      <c r="J166" s="6">
        <v>17.0</v>
      </c>
      <c r="K166" s="6">
        <v>549.0</v>
      </c>
      <c r="L166" s="4" t="s">
        <v>211</v>
      </c>
      <c r="M166" s="6">
        <v>135.0</v>
      </c>
      <c r="N166" s="6">
        <v>6.0</v>
      </c>
      <c r="O166" s="6">
        <v>40.0</v>
      </c>
      <c r="P166" s="6">
        <v>7.0</v>
      </c>
      <c r="Q166" s="6">
        <v>0.0</v>
      </c>
      <c r="R166" s="6">
        <v>4.0</v>
      </c>
      <c r="S166" s="7"/>
      <c r="T166" s="6">
        <v>1.0</v>
      </c>
      <c r="U166" s="6">
        <v>2578.0</v>
      </c>
      <c r="V166" s="7"/>
      <c r="W166" s="7"/>
      <c r="X166" s="8">
        <f t="shared" si="1"/>
        <v>0.8571428571</v>
      </c>
      <c r="Y166" s="9">
        <f t="shared" si="2"/>
        <v>13</v>
      </c>
      <c r="Z166" s="8">
        <f t="shared" si="3"/>
        <v>1</v>
      </c>
      <c r="AA166" s="8">
        <f t="shared" si="4"/>
        <v>1.166666667</v>
      </c>
      <c r="AB166" s="8">
        <f t="shared" si="5"/>
        <v>0.1666666667</v>
      </c>
      <c r="AC166" s="8">
        <f t="shared" si="6"/>
        <v>6</v>
      </c>
      <c r="AD166" s="8">
        <f t="shared" si="7"/>
        <v>7</v>
      </c>
      <c r="AE166" s="8">
        <f t="shared" si="8"/>
        <v>1</v>
      </c>
      <c r="AF166" s="8">
        <f t="shared" si="9"/>
        <v>6</v>
      </c>
      <c r="AG166" s="8">
        <f t="shared" si="10"/>
        <v>7</v>
      </c>
      <c r="AH166" s="8">
        <f t="shared" si="11"/>
        <v>1</v>
      </c>
      <c r="AI166" s="10">
        <f t="shared" si="12"/>
        <v>0.3529411765</v>
      </c>
      <c r="AJ166" s="11">
        <f t="shared" si="13"/>
        <v>0.4117647059</v>
      </c>
      <c r="AK166" s="12">
        <f t="shared" si="14"/>
        <v>0.05882352941</v>
      </c>
    </row>
    <row r="167">
      <c r="A167" s="4" t="s">
        <v>231</v>
      </c>
      <c r="B167" s="4" t="s">
        <v>210</v>
      </c>
      <c r="C167" s="4" t="s">
        <v>60</v>
      </c>
      <c r="D167" s="6">
        <v>30.0</v>
      </c>
      <c r="E167" s="6">
        <v>6.0</v>
      </c>
      <c r="F167" s="6">
        <v>6.0</v>
      </c>
      <c r="G167" s="6">
        <v>30.0</v>
      </c>
      <c r="H167" s="6">
        <v>1.0</v>
      </c>
      <c r="I167" s="6">
        <v>1.0</v>
      </c>
      <c r="J167" s="6">
        <v>18.0</v>
      </c>
      <c r="K167" s="6">
        <v>549.0</v>
      </c>
      <c r="L167" s="4" t="s">
        <v>211</v>
      </c>
      <c r="M167" s="6">
        <v>180.0</v>
      </c>
      <c r="N167" s="6">
        <v>6.0</v>
      </c>
      <c r="O167" s="6">
        <v>40.0</v>
      </c>
      <c r="P167" s="6">
        <v>7.0</v>
      </c>
      <c r="Q167" s="6">
        <v>0.0</v>
      </c>
      <c r="R167" s="6">
        <v>4.0</v>
      </c>
      <c r="S167" s="7"/>
      <c r="T167" s="6">
        <v>1.0</v>
      </c>
      <c r="U167" s="6">
        <v>2578.0</v>
      </c>
      <c r="V167" s="7"/>
      <c r="W167" s="7"/>
      <c r="X167" s="8">
        <f t="shared" si="1"/>
        <v>0.8571428571</v>
      </c>
      <c r="Y167" s="9">
        <f t="shared" si="2"/>
        <v>13</v>
      </c>
      <c r="Z167" s="8">
        <f t="shared" si="3"/>
        <v>1</v>
      </c>
      <c r="AA167" s="8">
        <f t="shared" si="4"/>
        <v>1.166666667</v>
      </c>
      <c r="AB167" s="8">
        <f t="shared" si="5"/>
        <v>0.1666666667</v>
      </c>
      <c r="AC167" s="8">
        <f t="shared" si="6"/>
        <v>6</v>
      </c>
      <c r="AD167" s="8">
        <f t="shared" si="7"/>
        <v>7</v>
      </c>
      <c r="AE167" s="8">
        <f t="shared" si="8"/>
        <v>1</v>
      </c>
      <c r="AF167" s="8">
        <f t="shared" si="9"/>
        <v>6</v>
      </c>
      <c r="AG167" s="8">
        <f t="shared" si="10"/>
        <v>7</v>
      </c>
      <c r="AH167" s="8">
        <f t="shared" si="11"/>
        <v>1</v>
      </c>
      <c r="AI167" s="10">
        <f t="shared" si="12"/>
        <v>0.3333333333</v>
      </c>
      <c r="AJ167" s="11">
        <f t="shared" si="13"/>
        <v>0.3888888889</v>
      </c>
      <c r="AK167" s="12">
        <f t="shared" si="14"/>
        <v>0.05555555556</v>
      </c>
    </row>
    <row r="168">
      <c r="A168" s="4" t="s">
        <v>232</v>
      </c>
      <c r="B168" s="4" t="s">
        <v>210</v>
      </c>
      <c r="C168" s="4" t="s">
        <v>60</v>
      </c>
      <c r="D168" s="6">
        <v>31.0</v>
      </c>
      <c r="E168" s="6">
        <v>7.0</v>
      </c>
      <c r="F168" s="6">
        <v>7.0</v>
      </c>
      <c r="G168" s="6">
        <v>31.0</v>
      </c>
      <c r="H168" s="6">
        <v>1.0</v>
      </c>
      <c r="I168" s="6">
        <v>1.0</v>
      </c>
      <c r="J168" s="6">
        <v>19.0</v>
      </c>
      <c r="K168" s="6">
        <v>581.0</v>
      </c>
      <c r="L168" s="4" t="s">
        <v>211</v>
      </c>
      <c r="M168" s="6">
        <v>135.0</v>
      </c>
      <c r="N168" s="6">
        <v>6.0</v>
      </c>
      <c r="O168" s="6">
        <v>40.0</v>
      </c>
      <c r="P168" s="6">
        <v>7.0</v>
      </c>
      <c r="Q168" s="6">
        <v>0.0</v>
      </c>
      <c r="R168" s="6">
        <v>4.0</v>
      </c>
      <c r="S168" s="7"/>
      <c r="T168" s="6">
        <v>1.0</v>
      </c>
      <c r="U168" s="6">
        <v>3093.0</v>
      </c>
      <c r="V168" s="7"/>
      <c r="W168" s="7"/>
      <c r="X168" s="8">
        <f t="shared" si="1"/>
        <v>0.8571428571</v>
      </c>
      <c r="Y168" s="9">
        <f t="shared" si="2"/>
        <v>13</v>
      </c>
      <c r="Z168" s="8">
        <f t="shared" si="3"/>
        <v>0.8571428571</v>
      </c>
      <c r="AA168" s="8">
        <f t="shared" si="4"/>
        <v>1</v>
      </c>
      <c r="AB168" s="8">
        <f t="shared" si="5"/>
        <v>0.1428571429</v>
      </c>
      <c r="AC168" s="8">
        <f t="shared" si="6"/>
        <v>6</v>
      </c>
      <c r="AD168" s="8">
        <f t="shared" si="7"/>
        <v>7</v>
      </c>
      <c r="AE168" s="8">
        <f t="shared" si="8"/>
        <v>1</v>
      </c>
      <c r="AF168" s="8">
        <f t="shared" si="9"/>
        <v>6</v>
      </c>
      <c r="AG168" s="8">
        <f t="shared" si="10"/>
        <v>7</v>
      </c>
      <c r="AH168" s="8">
        <f t="shared" si="11"/>
        <v>1</v>
      </c>
      <c r="AI168" s="10">
        <f t="shared" si="12"/>
        <v>0.3157894737</v>
      </c>
      <c r="AJ168" s="11">
        <f t="shared" si="13"/>
        <v>0.3684210526</v>
      </c>
      <c r="AK168" s="12">
        <f t="shared" si="14"/>
        <v>0.05263157895</v>
      </c>
    </row>
    <row r="169">
      <c r="A169" s="4" t="s">
        <v>233</v>
      </c>
      <c r="B169" s="4" t="s">
        <v>210</v>
      </c>
      <c r="C169" s="4" t="s">
        <v>139</v>
      </c>
      <c r="D169" s="6">
        <v>22.0</v>
      </c>
      <c r="E169" s="6">
        <v>5.0</v>
      </c>
      <c r="F169" s="6">
        <v>5.0</v>
      </c>
      <c r="G169" s="6">
        <v>22.0</v>
      </c>
      <c r="H169" s="6">
        <v>1.0</v>
      </c>
      <c r="I169" s="6">
        <v>1.0</v>
      </c>
      <c r="J169" s="6">
        <v>10.0</v>
      </c>
      <c r="K169" s="6">
        <v>561.0</v>
      </c>
      <c r="L169" s="4" t="s">
        <v>211</v>
      </c>
      <c r="M169" s="6">
        <v>220.0</v>
      </c>
      <c r="N169" s="6">
        <v>2.0</v>
      </c>
      <c r="O169" s="6">
        <v>20.0</v>
      </c>
      <c r="P169" s="6">
        <v>5.0</v>
      </c>
      <c r="Q169" s="6">
        <v>0.0</v>
      </c>
      <c r="R169" s="6">
        <v>0.0</v>
      </c>
      <c r="S169" s="7"/>
      <c r="T169" s="6">
        <v>0.0</v>
      </c>
      <c r="U169" s="6">
        <v>2929.0</v>
      </c>
      <c r="V169" s="7"/>
      <c r="W169" s="7"/>
      <c r="X169" s="8">
        <f t="shared" si="1"/>
        <v>0.4</v>
      </c>
      <c r="Y169" s="9">
        <f t="shared" si="2"/>
        <v>7</v>
      </c>
      <c r="Z169" s="8">
        <f t="shared" si="3"/>
        <v>0.4</v>
      </c>
      <c r="AA169" s="8">
        <f t="shared" si="4"/>
        <v>1</v>
      </c>
      <c r="AB169" s="8">
        <f t="shared" si="5"/>
        <v>0</v>
      </c>
      <c r="AC169" s="8">
        <f t="shared" si="6"/>
        <v>2</v>
      </c>
      <c r="AD169" s="8">
        <f t="shared" si="7"/>
        <v>5</v>
      </c>
      <c r="AE169" s="8">
        <f t="shared" si="8"/>
        <v>0</v>
      </c>
      <c r="AF169" s="8">
        <f t="shared" si="9"/>
        <v>2</v>
      </c>
      <c r="AG169" s="8">
        <f t="shared" si="10"/>
        <v>5</v>
      </c>
      <c r="AH169" s="8">
        <f t="shared" si="11"/>
        <v>0</v>
      </c>
      <c r="AI169" s="10">
        <f t="shared" si="12"/>
        <v>0.2</v>
      </c>
      <c r="AJ169" s="11">
        <f t="shared" si="13"/>
        <v>0.5</v>
      </c>
      <c r="AK169" s="12">
        <f t="shared" si="14"/>
        <v>0</v>
      </c>
    </row>
    <row r="170">
      <c r="A170" s="4" t="s">
        <v>234</v>
      </c>
      <c r="B170" s="4" t="s">
        <v>210</v>
      </c>
      <c r="C170" s="4" t="s">
        <v>49</v>
      </c>
      <c r="D170" s="6">
        <v>72.0</v>
      </c>
      <c r="E170" s="6">
        <v>16.0</v>
      </c>
      <c r="F170" s="6">
        <v>16.0</v>
      </c>
      <c r="G170" s="6">
        <v>72.0</v>
      </c>
      <c r="H170" s="6">
        <v>1.0</v>
      </c>
      <c r="I170" s="6">
        <v>3.0</v>
      </c>
      <c r="J170" s="6">
        <v>43.0</v>
      </c>
      <c r="K170" s="6">
        <v>564.0</v>
      </c>
      <c r="L170" s="4" t="s">
        <v>211</v>
      </c>
      <c r="M170" s="6">
        <v>180.0</v>
      </c>
      <c r="N170" s="6">
        <v>6.0</v>
      </c>
      <c r="O170" s="6">
        <v>90.0</v>
      </c>
      <c r="P170" s="6">
        <v>7.0</v>
      </c>
      <c r="Q170" s="6">
        <v>0.0</v>
      </c>
      <c r="R170" s="6">
        <v>2.0</v>
      </c>
      <c r="S170" s="7"/>
      <c r="T170" s="6">
        <v>2.0</v>
      </c>
      <c r="U170" s="6">
        <v>2460.0</v>
      </c>
      <c r="V170" s="7"/>
      <c r="W170" s="7"/>
      <c r="X170" s="8">
        <f t="shared" si="1"/>
        <v>0.8571428571</v>
      </c>
      <c r="Y170" s="9">
        <f t="shared" si="2"/>
        <v>13</v>
      </c>
      <c r="Z170" s="8">
        <f t="shared" si="3"/>
        <v>0.375</v>
      </c>
      <c r="AA170" s="8">
        <f t="shared" si="4"/>
        <v>0.4375</v>
      </c>
      <c r="AB170" s="8">
        <f t="shared" si="5"/>
        <v>0.125</v>
      </c>
      <c r="AC170" s="8">
        <f t="shared" si="6"/>
        <v>2</v>
      </c>
      <c r="AD170" s="8">
        <f t="shared" si="7"/>
        <v>2.333333333</v>
      </c>
      <c r="AE170" s="8">
        <f t="shared" si="8"/>
        <v>0.6666666667</v>
      </c>
      <c r="AF170" s="8">
        <f t="shared" si="9"/>
        <v>6</v>
      </c>
      <c r="AG170" s="8">
        <f t="shared" si="10"/>
        <v>7</v>
      </c>
      <c r="AH170" s="8">
        <f t="shared" si="11"/>
        <v>2</v>
      </c>
      <c r="AI170" s="10">
        <f t="shared" si="12"/>
        <v>0.1395348837</v>
      </c>
      <c r="AJ170" s="11">
        <f t="shared" si="13"/>
        <v>0.1627906977</v>
      </c>
      <c r="AK170" s="12">
        <f t="shared" si="14"/>
        <v>0.04651162791</v>
      </c>
    </row>
    <row r="171">
      <c r="A171" s="4" t="s">
        <v>234</v>
      </c>
      <c r="B171" s="4" t="s">
        <v>210</v>
      </c>
      <c r="C171" s="4" t="s">
        <v>92</v>
      </c>
      <c r="D171" s="6">
        <v>48.0</v>
      </c>
      <c r="E171" s="6">
        <v>11.0</v>
      </c>
      <c r="F171" s="6">
        <v>11.0</v>
      </c>
      <c r="G171" s="6">
        <v>48.0</v>
      </c>
      <c r="H171" s="6">
        <v>2.0</v>
      </c>
      <c r="I171" s="6">
        <v>2.0</v>
      </c>
      <c r="J171" s="6">
        <v>29.0</v>
      </c>
      <c r="K171" s="6">
        <v>541.0</v>
      </c>
      <c r="L171" s="4" t="s">
        <v>211</v>
      </c>
      <c r="M171" s="6">
        <v>180.0</v>
      </c>
      <c r="N171" s="6">
        <v>4.0</v>
      </c>
      <c r="O171" s="6">
        <v>60.0</v>
      </c>
      <c r="P171" s="6">
        <v>7.0</v>
      </c>
      <c r="Q171" s="6">
        <v>0.0</v>
      </c>
      <c r="R171" s="6">
        <v>2.0</v>
      </c>
      <c r="S171" s="7"/>
      <c r="T171" s="6">
        <v>2.0</v>
      </c>
      <c r="U171" s="6">
        <v>2343.0</v>
      </c>
      <c r="V171" s="7"/>
      <c r="W171" s="7"/>
      <c r="X171" s="8">
        <f t="shared" si="1"/>
        <v>0.5714285714</v>
      </c>
      <c r="Y171" s="9">
        <f t="shared" si="2"/>
        <v>11</v>
      </c>
      <c r="Z171" s="8">
        <f t="shared" si="3"/>
        <v>0.3636363636</v>
      </c>
      <c r="AA171" s="8">
        <f t="shared" si="4"/>
        <v>0.6363636364</v>
      </c>
      <c r="AB171" s="8">
        <f t="shared" si="5"/>
        <v>0.1818181818</v>
      </c>
      <c r="AC171" s="8">
        <f t="shared" si="6"/>
        <v>2</v>
      </c>
      <c r="AD171" s="8">
        <f t="shared" si="7"/>
        <v>3.5</v>
      </c>
      <c r="AE171" s="8">
        <f t="shared" si="8"/>
        <v>1</v>
      </c>
      <c r="AF171" s="8">
        <f t="shared" si="9"/>
        <v>2</v>
      </c>
      <c r="AG171" s="8">
        <f t="shared" si="10"/>
        <v>3.5</v>
      </c>
      <c r="AH171" s="8">
        <f t="shared" si="11"/>
        <v>1</v>
      </c>
      <c r="AI171" s="10">
        <f t="shared" si="12"/>
        <v>0.1379310345</v>
      </c>
      <c r="AJ171" s="11">
        <f t="shared" si="13"/>
        <v>0.2413793103</v>
      </c>
      <c r="AK171" s="12">
        <f t="shared" si="14"/>
        <v>0.06896551724</v>
      </c>
    </row>
    <row r="172">
      <c r="A172" s="4" t="s">
        <v>235</v>
      </c>
      <c r="B172" s="4" t="s">
        <v>210</v>
      </c>
      <c r="C172" s="4" t="s">
        <v>171</v>
      </c>
      <c r="D172" s="6">
        <v>34.0</v>
      </c>
      <c r="E172" s="6">
        <v>7.0</v>
      </c>
      <c r="F172" s="6">
        <v>7.0</v>
      </c>
      <c r="G172" s="6">
        <v>34.0</v>
      </c>
      <c r="H172" s="6">
        <v>1.0</v>
      </c>
      <c r="I172" s="6">
        <v>1.0</v>
      </c>
      <c r="J172" s="6">
        <v>21.0</v>
      </c>
      <c r="K172" s="6">
        <v>541.0</v>
      </c>
      <c r="L172" s="4" t="s">
        <v>211</v>
      </c>
      <c r="M172" s="6">
        <v>210.0</v>
      </c>
      <c r="N172" s="6">
        <v>5.0</v>
      </c>
      <c r="O172" s="6">
        <v>50.0</v>
      </c>
      <c r="P172" s="6">
        <v>9.0</v>
      </c>
      <c r="Q172" s="6">
        <v>0.0</v>
      </c>
      <c r="R172" s="6">
        <v>1.0</v>
      </c>
      <c r="S172" s="7"/>
      <c r="T172" s="6">
        <v>4.0</v>
      </c>
      <c r="U172" s="6">
        <v>2343.0</v>
      </c>
      <c r="V172" s="7"/>
      <c r="W172" s="7"/>
      <c r="X172" s="8">
        <f t="shared" si="1"/>
        <v>0.5555555556</v>
      </c>
      <c r="Y172" s="9">
        <f t="shared" si="2"/>
        <v>14</v>
      </c>
      <c r="Z172" s="8">
        <f t="shared" si="3"/>
        <v>0.7142857143</v>
      </c>
      <c r="AA172" s="8">
        <f t="shared" si="4"/>
        <v>1.285714286</v>
      </c>
      <c r="AB172" s="8">
        <f t="shared" si="5"/>
        <v>0.5714285714</v>
      </c>
      <c r="AC172" s="8">
        <f t="shared" si="6"/>
        <v>5</v>
      </c>
      <c r="AD172" s="8">
        <f t="shared" si="7"/>
        <v>9</v>
      </c>
      <c r="AE172" s="8">
        <f t="shared" si="8"/>
        <v>4</v>
      </c>
      <c r="AF172" s="8">
        <f t="shared" si="9"/>
        <v>5</v>
      </c>
      <c r="AG172" s="8">
        <f t="shared" si="10"/>
        <v>9</v>
      </c>
      <c r="AH172" s="8">
        <f t="shared" si="11"/>
        <v>4</v>
      </c>
      <c r="AI172" s="10">
        <f t="shared" si="12"/>
        <v>0.2380952381</v>
      </c>
      <c r="AJ172" s="11">
        <f t="shared" si="13"/>
        <v>0.4285714286</v>
      </c>
      <c r="AK172" s="12">
        <f t="shared" si="14"/>
        <v>0.1904761905</v>
      </c>
    </row>
    <row r="173">
      <c r="A173" s="4" t="s">
        <v>236</v>
      </c>
      <c r="B173" s="4" t="s">
        <v>210</v>
      </c>
      <c r="C173" s="4" t="s">
        <v>49</v>
      </c>
      <c r="D173" s="6">
        <v>66.0</v>
      </c>
      <c r="E173" s="6">
        <v>15.0</v>
      </c>
      <c r="F173" s="6">
        <v>15.0</v>
      </c>
      <c r="G173" s="6">
        <v>66.0</v>
      </c>
      <c r="H173" s="6">
        <v>1.0</v>
      </c>
      <c r="I173" s="6">
        <v>2.0</v>
      </c>
      <c r="J173" s="6">
        <v>41.0</v>
      </c>
      <c r="K173" s="6">
        <v>580.0</v>
      </c>
      <c r="L173" s="4" t="s">
        <v>211</v>
      </c>
      <c r="M173" s="6">
        <v>150.0</v>
      </c>
      <c r="N173" s="6">
        <v>4.0</v>
      </c>
      <c r="O173" s="6">
        <v>30.0</v>
      </c>
      <c r="P173" s="6">
        <v>7.0</v>
      </c>
      <c r="Q173" s="6">
        <v>0.0</v>
      </c>
      <c r="R173" s="6">
        <v>5.0</v>
      </c>
      <c r="S173" s="7"/>
      <c r="T173" s="6">
        <v>6.0</v>
      </c>
      <c r="U173" s="6">
        <v>2109.0</v>
      </c>
      <c r="V173" s="7"/>
      <c r="W173" s="7"/>
      <c r="X173" s="8">
        <f t="shared" si="1"/>
        <v>0.5714285714</v>
      </c>
      <c r="Y173" s="9">
        <f t="shared" si="2"/>
        <v>11</v>
      </c>
      <c r="Z173" s="8">
        <f t="shared" si="3"/>
        <v>0.2666666667</v>
      </c>
      <c r="AA173" s="8">
        <f t="shared" si="4"/>
        <v>0.4666666667</v>
      </c>
      <c r="AB173" s="8">
        <f t="shared" si="5"/>
        <v>0.4</v>
      </c>
      <c r="AC173" s="8">
        <f t="shared" si="6"/>
        <v>2</v>
      </c>
      <c r="AD173" s="8">
        <f t="shared" si="7"/>
        <v>3.5</v>
      </c>
      <c r="AE173" s="8">
        <f t="shared" si="8"/>
        <v>3</v>
      </c>
      <c r="AF173" s="8">
        <f t="shared" si="9"/>
        <v>4</v>
      </c>
      <c r="AG173" s="8">
        <f t="shared" si="10"/>
        <v>7</v>
      </c>
      <c r="AH173" s="8">
        <f t="shared" si="11"/>
        <v>6</v>
      </c>
      <c r="AI173" s="10">
        <f t="shared" si="12"/>
        <v>0.09756097561</v>
      </c>
      <c r="AJ173" s="11">
        <f t="shared" si="13"/>
        <v>0.1707317073</v>
      </c>
      <c r="AK173" s="12">
        <f t="shared" si="14"/>
        <v>0.1463414634</v>
      </c>
    </row>
    <row r="174">
      <c r="A174" s="4" t="s">
        <v>237</v>
      </c>
      <c r="B174" s="4" t="s">
        <v>238</v>
      </c>
      <c r="C174" s="4" t="s">
        <v>168</v>
      </c>
      <c r="D174" s="6">
        <v>15.0</v>
      </c>
      <c r="E174" s="6">
        <v>7.0</v>
      </c>
      <c r="F174" s="6">
        <v>14.0</v>
      </c>
      <c r="G174" s="6">
        <v>15.0</v>
      </c>
      <c r="H174" s="6">
        <v>0.0</v>
      </c>
      <c r="I174" s="6">
        <v>2.0</v>
      </c>
      <c r="J174" s="6">
        <v>19.0</v>
      </c>
      <c r="K174" s="6">
        <v>387.0</v>
      </c>
      <c r="L174" s="4" t="s">
        <v>211</v>
      </c>
      <c r="M174" s="6">
        <v>150.0</v>
      </c>
      <c r="N174" s="6">
        <v>30.0</v>
      </c>
      <c r="O174" s="6">
        <v>150.0</v>
      </c>
      <c r="P174" s="6">
        <v>39.0</v>
      </c>
      <c r="Q174" s="6">
        <v>1.0</v>
      </c>
      <c r="R174" s="6">
        <v>7.0</v>
      </c>
      <c r="S174" s="7"/>
      <c r="T174" s="6">
        <v>5.0</v>
      </c>
      <c r="U174" s="6">
        <v>2062.0</v>
      </c>
      <c r="V174" s="7"/>
      <c r="W174" s="7"/>
      <c r="X174" s="8">
        <f t="shared" si="1"/>
        <v>0.7692307692</v>
      </c>
      <c r="Y174" s="9">
        <f t="shared" si="2"/>
        <v>69</v>
      </c>
      <c r="Z174" s="8">
        <f t="shared" si="3"/>
        <v>4.285714286</v>
      </c>
      <c r="AA174" s="8">
        <f t="shared" si="4"/>
        <v>5.571428571</v>
      </c>
      <c r="AB174" s="8">
        <f t="shared" si="5"/>
        <v>0.7142857143</v>
      </c>
      <c r="AC174" s="8">
        <f t="shared" si="6"/>
        <v>15</v>
      </c>
      <c r="AD174" s="8">
        <f t="shared" si="7"/>
        <v>19.5</v>
      </c>
      <c r="AE174" s="8">
        <f t="shared" si="8"/>
        <v>2.5</v>
      </c>
      <c r="AF174" s="8" t="str">
        <f t="shared" si="9"/>
        <v>#DIV/0!</v>
      </c>
      <c r="AG174" s="8" t="str">
        <f t="shared" si="10"/>
        <v>#DIV/0!</v>
      </c>
      <c r="AH174" s="8" t="str">
        <f t="shared" si="11"/>
        <v>#DIV/0!</v>
      </c>
      <c r="AI174" s="10">
        <f t="shared" si="12"/>
        <v>1.578947368</v>
      </c>
      <c r="AJ174" s="11">
        <f t="shared" si="13"/>
        <v>2.052631579</v>
      </c>
      <c r="AK174" s="12">
        <f t="shared" si="14"/>
        <v>0.2631578947</v>
      </c>
    </row>
    <row r="175">
      <c r="A175" s="4" t="s">
        <v>239</v>
      </c>
      <c r="B175" s="4" t="s">
        <v>238</v>
      </c>
      <c r="C175" s="4" t="s">
        <v>56</v>
      </c>
      <c r="D175" s="6">
        <v>74.0</v>
      </c>
      <c r="E175" s="6">
        <v>16.0</v>
      </c>
      <c r="F175" s="6">
        <v>16.0</v>
      </c>
      <c r="G175" s="6">
        <v>74.0</v>
      </c>
      <c r="H175" s="6">
        <v>1.0</v>
      </c>
      <c r="I175" s="6">
        <v>3.0</v>
      </c>
      <c r="J175" s="6">
        <v>47.0</v>
      </c>
      <c r="K175" s="6">
        <v>495.0</v>
      </c>
      <c r="L175" s="4" t="s">
        <v>211</v>
      </c>
      <c r="M175" s="6">
        <v>210.0</v>
      </c>
      <c r="N175" s="6">
        <v>25.0</v>
      </c>
      <c r="O175" s="6">
        <v>150.0</v>
      </c>
      <c r="P175" s="6">
        <v>28.0</v>
      </c>
      <c r="Q175" s="6">
        <v>0.0</v>
      </c>
      <c r="R175" s="6">
        <v>6.0</v>
      </c>
      <c r="S175" s="7"/>
      <c r="T175" s="6">
        <v>7.0</v>
      </c>
      <c r="U175" s="6">
        <v>2062.0</v>
      </c>
      <c r="V175" s="7"/>
      <c r="W175" s="7"/>
      <c r="X175" s="8">
        <f t="shared" si="1"/>
        <v>0.8928571429</v>
      </c>
      <c r="Y175" s="9">
        <f t="shared" si="2"/>
        <v>53</v>
      </c>
      <c r="Z175" s="8">
        <f t="shared" si="3"/>
        <v>1.5625</v>
      </c>
      <c r="AA175" s="8">
        <f t="shared" si="4"/>
        <v>1.75</v>
      </c>
      <c r="AB175" s="8">
        <f t="shared" si="5"/>
        <v>0.4375</v>
      </c>
      <c r="AC175" s="8">
        <f t="shared" si="6"/>
        <v>8.333333333</v>
      </c>
      <c r="AD175" s="8">
        <f t="shared" si="7"/>
        <v>9.333333333</v>
      </c>
      <c r="AE175" s="8">
        <f t="shared" si="8"/>
        <v>2.333333333</v>
      </c>
      <c r="AF175" s="8">
        <f t="shared" si="9"/>
        <v>25</v>
      </c>
      <c r="AG175" s="8">
        <f t="shared" si="10"/>
        <v>28</v>
      </c>
      <c r="AH175" s="8">
        <f t="shared" si="11"/>
        <v>7</v>
      </c>
      <c r="AI175" s="10">
        <f t="shared" si="12"/>
        <v>0.5319148936</v>
      </c>
      <c r="AJ175" s="11">
        <f t="shared" si="13"/>
        <v>0.5957446809</v>
      </c>
      <c r="AK175" s="12">
        <f t="shared" si="14"/>
        <v>0.1489361702</v>
      </c>
    </row>
    <row r="176">
      <c r="A176" s="4" t="s">
        <v>240</v>
      </c>
      <c r="B176" s="4" t="s">
        <v>238</v>
      </c>
      <c r="C176" s="4" t="s">
        <v>92</v>
      </c>
      <c r="D176" s="6">
        <v>34.0</v>
      </c>
      <c r="E176" s="6">
        <v>7.0</v>
      </c>
      <c r="F176" s="6">
        <v>7.0</v>
      </c>
      <c r="G176" s="6">
        <v>34.0</v>
      </c>
      <c r="H176" s="6">
        <v>2.0</v>
      </c>
      <c r="I176" s="6">
        <v>1.0</v>
      </c>
      <c r="J176" s="6">
        <v>21.0</v>
      </c>
      <c r="K176" s="6">
        <v>383.0</v>
      </c>
      <c r="L176" s="4" t="s">
        <v>211</v>
      </c>
      <c r="M176" s="6">
        <v>105.0</v>
      </c>
      <c r="N176" s="6">
        <v>5.0</v>
      </c>
      <c r="O176" s="6">
        <v>50.0</v>
      </c>
      <c r="P176" s="6">
        <v>10.0</v>
      </c>
      <c r="Q176" s="6">
        <v>0.0</v>
      </c>
      <c r="R176" s="6">
        <v>6.0</v>
      </c>
      <c r="S176" s="7"/>
      <c r="T176" s="6">
        <v>4.0</v>
      </c>
      <c r="U176" s="6">
        <v>2156.0</v>
      </c>
      <c r="V176" s="7"/>
      <c r="W176" s="7"/>
      <c r="X176" s="8">
        <f t="shared" si="1"/>
        <v>0.5</v>
      </c>
      <c r="Y176" s="9">
        <f t="shared" si="2"/>
        <v>15</v>
      </c>
      <c r="Z176" s="8">
        <f t="shared" si="3"/>
        <v>0.7142857143</v>
      </c>
      <c r="AA176" s="8">
        <f t="shared" si="4"/>
        <v>1.428571429</v>
      </c>
      <c r="AB176" s="8">
        <f t="shared" si="5"/>
        <v>0.5714285714</v>
      </c>
      <c r="AC176" s="8">
        <f t="shared" si="6"/>
        <v>5</v>
      </c>
      <c r="AD176" s="8">
        <f t="shared" si="7"/>
        <v>10</v>
      </c>
      <c r="AE176" s="8">
        <f t="shared" si="8"/>
        <v>4</v>
      </c>
      <c r="AF176" s="8">
        <f t="shared" si="9"/>
        <v>2.5</v>
      </c>
      <c r="AG176" s="8">
        <f t="shared" si="10"/>
        <v>5</v>
      </c>
      <c r="AH176" s="8">
        <f t="shared" si="11"/>
        <v>2</v>
      </c>
      <c r="AI176" s="10">
        <f t="shared" si="12"/>
        <v>0.2380952381</v>
      </c>
      <c r="AJ176" s="11">
        <f t="shared" si="13"/>
        <v>0.4761904762</v>
      </c>
      <c r="AK176" s="12">
        <f t="shared" si="14"/>
        <v>0.1904761905</v>
      </c>
    </row>
    <row r="177">
      <c r="A177" s="4" t="s">
        <v>240</v>
      </c>
      <c r="B177" s="4" t="s">
        <v>238</v>
      </c>
      <c r="C177" s="4" t="s">
        <v>73</v>
      </c>
      <c r="D177" s="6">
        <v>34.0</v>
      </c>
      <c r="E177" s="6">
        <v>7.0</v>
      </c>
      <c r="F177" s="6">
        <v>7.0</v>
      </c>
      <c r="G177" s="6">
        <v>34.0</v>
      </c>
      <c r="H177" s="6">
        <v>1.0</v>
      </c>
      <c r="I177" s="6">
        <v>1.0</v>
      </c>
      <c r="J177" s="6">
        <v>15.0</v>
      </c>
      <c r="K177" s="6">
        <v>383.0</v>
      </c>
      <c r="L177" s="4" t="s">
        <v>211</v>
      </c>
      <c r="M177" s="6">
        <v>105.0</v>
      </c>
      <c r="N177" s="6">
        <v>5.0</v>
      </c>
      <c r="O177" s="6">
        <v>50.0</v>
      </c>
      <c r="P177" s="6">
        <v>10.0</v>
      </c>
      <c r="Q177" s="6">
        <v>0.0</v>
      </c>
      <c r="R177" s="6">
        <v>6.0</v>
      </c>
      <c r="S177" s="7"/>
      <c r="T177" s="6">
        <v>4.0</v>
      </c>
      <c r="U177" s="6">
        <v>2156.0</v>
      </c>
      <c r="V177" s="7"/>
      <c r="W177" s="7"/>
      <c r="X177" s="8">
        <f t="shared" si="1"/>
        <v>0.5</v>
      </c>
      <c r="Y177" s="9">
        <f t="shared" si="2"/>
        <v>15</v>
      </c>
      <c r="Z177" s="8">
        <f t="shared" si="3"/>
        <v>0.7142857143</v>
      </c>
      <c r="AA177" s="8">
        <f t="shared" si="4"/>
        <v>1.428571429</v>
      </c>
      <c r="AB177" s="8">
        <f t="shared" si="5"/>
        <v>0.5714285714</v>
      </c>
      <c r="AC177" s="8">
        <f t="shared" si="6"/>
        <v>5</v>
      </c>
      <c r="AD177" s="8">
        <f t="shared" si="7"/>
        <v>10</v>
      </c>
      <c r="AE177" s="8">
        <f t="shared" si="8"/>
        <v>4</v>
      </c>
      <c r="AF177" s="8">
        <f t="shared" si="9"/>
        <v>5</v>
      </c>
      <c r="AG177" s="8">
        <f t="shared" si="10"/>
        <v>10</v>
      </c>
      <c r="AH177" s="8">
        <f t="shared" si="11"/>
        <v>4</v>
      </c>
      <c r="AI177" s="10">
        <f t="shared" si="12"/>
        <v>0.3333333333</v>
      </c>
      <c r="AJ177" s="11">
        <f t="shared" si="13"/>
        <v>0.6666666667</v>
      </c>
      <c r="AK177" s="12">
        <f t="shared" si="14"/>
        <v>0.2666666667</v>
      </c>
    </row>
    <row r="178">
      <c r="A178" s="4" t="s">
        <v>241</v>
      </c>
      <c r="B178" s="4" t="s">
        <v>238</v>
      </c>
      <c r="C178" s="4" t="s">
        <v>73</v>
      </c>
      <c r="D178" s="6">
        <v>48.0</v>
      </c>
      <c r="E178" s="6">
        <v>11.0</v>
      </c>
      <c r="F178" s="6">
        <v>11.0</v>
      </c>
      <c r="G178" s="6">
        <v>48.0</v>
      </c>
      <c r="H178" s="6">
        <v>1.0</v>
      </c>
      <c r="I178" s="6">
        <v>2.0</v>
      </c>
      <c r="J178" s="6">
        <v>22.0</v>
      </c>
      <c r="K178" s="6">
        <v>383.0</v>
      </c>
      <c r="L178" s="4" t="s">
        <v>211</v>
      </c>
      <c r="M178" s="6">
        <v>160.0</v>
      </c>
      <c r="N178" s="6">
        <v>5.0</v>
      </c>
      <c r="O178" s="6">
        <v>50.0</v>
      </c>
      <c r="P178" s="6">
        <v>10.0</v>
      </c>
      <c r="Q178" s="6">
        <v>0.0</v>
      </c>
      <c r="R178" s="6">
        <v>6.0</v>
      </c>
      <c r="S178" s="7"/>
      <c r="T178" s="6">
        <v>4.0</v>
      </c>
      <c r="U178" s="6">
        <v>2156.0</v>
      </c>
      <c r="V178" s="7"/>
      <c r="W178" s="7"/>
      <c r="X178" s="8">
        <f t="shared" si="1"/>
        <v>0.5</v>
      </c>
      <c r="Y178" s="9">
        <f t="shared" si="2"/>
        <v>15</v>
      </c>
      <c r="Z178" s="8">
        <f t="shared" si="3"/>
        <v>0.4545454545</v>
      </c>
      <c r="AA178" s="8">
        <f t="shared" si="4"/>
        <v>0.9090909091</v>
      </c>
      <c r="AB178" s="8">
        <f t="shared" si="5"/>
        <v>0.3636363636</v>
      </c>
      <c r="AC178" s="8">
        <f t="shared" si="6"/>
        <v>2.5</v>
      </c>
      <c r="AD178" s="8">
        <f t="shared" si="7"/>
        <v>5</v>
      </c>
      <c r="AE178" s="8">
        <f t="shared" si="8"/>
        <v>2</v>
      </c>
      <c r="AF178" s="8">
        <f t="shared" si="9"/>
        <v>5</v>
      </c>
      <c r="AG178" s="8">
        <f t="shared" si="10"/>
        <v>10</v>
      </c>
      <c r="AH178" s="8">
        <f t="shared" si="11"/>
        <v>4</v>
      </c>
      <c r="AI178" s="10">
        <f t="shared" si="12"/>
        <v>0.2272727273</v>
      </c>
      <c r="AJ178" s="11">
        <f t="shared" si="13"/>
        <v>0.4545454545</v>
      </c>
      <c r="AK178" s="12">
        <f t="shared" si="14"/>
        <v>0.1818181818</v>
      </c>
    </row>
    <row r="179">
      <c r="A179" s="4" t="s">
        <v>242</v>
      </c>
      <c r="B179" s="4" t="s">
        <v>238</v>
      </c>
      <c r="C179" s="4" t="s">
        <v>73</v>
      </c>
      <c r="D179" s="6">
        <v>40.0</v>
      </c>
      <c r="E179" s="6">
        <v>8.0</v>
      </c>
      <c r="F179" s="6">
        <v>8.0</v>
      </c>
      <c r="G179" s="6">
        <v>40.0</v>
      </c>
      <c r="H179" s="6">
        <v>1.0</v>
      </c>
      <c r="I179" s="6">
        <v>1.0</v>
      </c>
      <c r="J179" s="6">
        <v>19.0</v>
      </c>
      <c r="K179" s="6">
        <v>408.0</v>
      </c>
      <c r="L179" s="4" t="s">
        <v>211</v>
      </c>
      <c r="M179" s="6">
        <v>90.0</v>
      </c>
      <c r="N179" s="6">
        <v>5.0</v>
      </c>
      <c r="O179" s="6">
        <v>50.0</v>
      </c>
      <c r="P179" s="6">
        <v>10.0</v>
      </c>
      <c r="Q179" s="6">
        <v>0.0</v>
      </c>
      <c r="R179" s="6">
        <v>6.0</v>
      </c>
      <c r="S179" s="7"/>
      <c r="T179" s="6">
        <v>4.0</v>
      </c>
      <c r="U179" s="6">
        <v>2587.0</v>
      </c>
      <c r="V179" s="7"/>
      <c r="W179" s="7"/>
      <c r="X179" s="8">
        <f t="shared" si="1"/>
        <v>0.5</v>
      </c>
      <c r="Y179" s="9">
        <f t="shared" si="2"/>
        <v>15</v>
      </c>
      <c r="Z179" s="8">
        <f t="shared" si="3"/>
        <v>0.625</v>
      </c>
      <c r="AA179" s="8">
        <f t="shared" si="4"/>
        <v>1.25</v>
      </c>
      <c r="AB179" s="8">
        <f t="shared" si="5"/>
        <v>0.5</v>
      </c>
      <c r="AC179" s="8">
        <f t="shared" si="6"/>
        <v>5</v>
      </c>
      <c r="AD179" s="8">
        <f t="shared" si="7"/>
        <v>10</v>
      </c>
      <c r="AE179" s="8">
        <f t="shared" si="8"/>
        <v>4</v>
      </c>
      <c r="AF179" s="8">
        <f t="shared" si="9"/>
        <v>5</v>
      </c>
      <c r="AG179" s="8">
        <f t="shared" si="10"/>
        <v>10</v>
      </c>
      <c r="AH179" s="8">
        <f t="shared" si="11"/>
        <v>4</v>
      </c>
      <c r="AI179" s="10">
        <f t="shared" si="12"/>
        <v>0.2631578947</v>
      </c>
      <c r="AJ179" s="11">
        <f t="shared" si="13"/>
        <v>0.5263157895</v>
      </c>
      <c r="AK179" s="12">
        <f t="shared" si="14"/>
        <v>0.2105263158</v>
      </c>
    </row>
    <row r="180">
      <c r="A180" s="4" t="s">
        <v>243</v>
      </c>
      <c r="B180" s="4" t="s">
        <v>238</v>
      </c>
      <c r="C180" s="4" t="s">
        <v>91</v>
      </c>
      <c r="D180" s="6">
        <v>26.0</v>
      </c>
      <c r="E180" s="6">
        <v>6.0</v>
      </c>
      <c r="F180" s="6">
        <v>6.0</v>
      </c>
      <c r="G180" s="6">
        <v>26.0</v>
      </c>
      <c r="H180" s="6">
        <v>1.0</v>
      </c>
      <c r="I180" s="6">
        <v>1.0</v>
      </c>
      <c r="J180" s="6">
        <v>17.0</v>
      </c>
      <c r="K180" s="6">
        <v>342.0</v>
      </c>
      <c r="L180" s="4" t="s">
        <v>211</v>
      </c>
      <c r="M180" s="6">
        <v>165.0</v>
      </c>
      <c r="N180" s="6">
        <v>10.0</v>
      </c>
      <c r="O180" s="6">
        <v>30.0</v>
      </c>
      <c r="P180" s="6">
        <v>14.0</v>
      </c>
      <c r="Q180" s="6">
        <v>0.0</v>
      </c>
      <c r="R180" s="6">
        <v>6.0</v>
      </c>
      <c r="S180" s="7"/>
      <c r="T180" s="6">
        <v>4.0</v>
      </c>
      <c r="U180" s="6">
        <v>1875.0</v>
      </c>
      <c r="V180" s="7"/>
      <c r="W180" s="7"/>
      <c r="X180" s="8">
        <f t="shared" si="1"/>
        <v>0.7142857143</v>
      </c>
      <c r="Y180" s="9">
        <f t="shared" si="2"/>
        <v>24</v>
      </c>
      <c r="Z180" s="8">
        <f t="shared" si="3"/>
        <v>1.666666667</v>
      </c>
      <c r="AA180" s="8">
        <f t="shared" si="4"/>
        <v>2.333333333</v>
      </c>
      <c r="AB180" s="8">
        <f t="shared" si="5"/>
        <v>0.6666666667</v>
      </c>
      <c r="AC180" s="8">
        <f t="shared" si="6"/>
        <v>10</v>
      </c>
      <c r="AD180" s="8">
        <f t="shared" si="7"/>
        <v>14</v>
      </c>
      <c r="AE180" s="8">
        <f t="shared" si="8"/>
        <v>4</v>
      </c>
      <c r="AF180" s="8">
        <f t="shared" si="9"/>
        <v>10</v>
      </c>
      <c r="AG180" s="8">
        <f t="shared" si="10"/>
        <v>14</v>
      </c>
      <c r="AH180" s="8">
        <f t="shared" si="11"/>
        <v>4</v>
      </c>
      <c r="AI180" s="10">
        <f t="shared" si="12"/>
        <v>0.5882352941</v>
      </c>
      <c r="AJ180" s="11">
        <f t="shared" si="13"/>
        <v>0.8235294118</v>
      </c>
      <c r="AK180" s="12">
        <f t="shared" si="14"/>
        <v>0.2352941176</v>
      </c>
    </row>
    <row r="181">
      <c r="A181" s="4" t="s">
        <v>243</v>
      </c>
      <c r="B181" s="4" t="s">
        <v>238</v>
      </c>
      <c r="C181" s="4" t="s">
        <v>92</v>
      </c>
      <c r="D181" s="6">
        <v>54.0</v>
      </c>
      <c r="E181" s="6">
        <v>12.0</v>
      </c>
      <c r="F181" s="6">
        <v>12.0</v>
      </c>
      <c r="G181" s="6">
        <v>54.0</v>
      </c>
      <c r="H181" s="6">
        <v>2.0</v>
      </c>
      <c r="I181" s="6">
        <v>2.0</v>
      </c>
      <c r="J181" s="6">
        <v>34.0</v>
      </c>
      <c r="K181" s="6">
        <v>380.0</v>
      </c>
      <c r="L181" s="4" t="s">
        <v>211</v>
      </c>
      <c r="M181" s="6">
        <v>165.0</v>
      </c>
      <c r="N181" s="6">
        <v>15.0</v>
      </c>
      <c r="O181" s="6">
        <v>60.0</v>
      </c>
      <c r="P181" s="6">
        <v>14.0</v>
      </c>
      <c r="Q181" s="6">
        <v>0.0</v>
      </c>
      <c r="R181" s="6">
        <v>6.0</v>
      </c>
      <c r="S181" s="7"/>
      <c r="T181" s="6">
        <v>4.0</v>
      </c>
      <c r="U181" s="6">
        <v>1875.0</v>
      </c>
      <c r="V181" s="7"/>
      <c r="W181" s="7"/>
      <c r="X181" s="8">
        <f t="shared" si="1"/>
        <v>1.071428571</v>
      </c>
      <c r="Y181" s="9">
        <f t="shared" si="2"/>
        <v>29</v>
      </c>
      <c r="Z181" s="8">
        <f t="shared" si="3"/>
        <v>1.25</v>
      </c>
      <c r="AA181" s="8">
        <f t="shared" si="4"/>
        <v>1.166666667</v>
      </c>
      <c r="AB181" s="8">
        <f t="shared" si="5"/>
        <v>0.3333333333</v>
      </c>
      <c r="AC181" s="8">
        <f t="shared" si="6"/>
        <v>7.5</v>
      </c>
      <c r="AD181" s="8">
        <f t="shared" si="7"/>
        <v>7</v>
      </c>
      <c r="AE181" s="8">
        <f t="shared" si="8"/>
        <v>2</v>
      </c>
      <c r="AF181" s="8">
        <f t="shared" si="9"/>
        <v>7.5</v>
      </c>
      <c r="AG181" s="8">
        <f t="shared" si="10"/>
        <v>7</v>
      </c>
      <c r="AH181" s="8">
        <f t="shared" si="11"/>
        <v>2</v>
      </c>
      <c r="AI181" s="10">
        <f t="shared" si="12"/>
        <v>0.4411764706</v>
      </c>
      <c r="AJ181" s="11">
        <f t="shared" si="13"/>
        <v>0.4117647059</v>
      </c>
      <c r="AK181" s="12">
        <f t="shared" si="14"/>
        <v>0.1176470588</v>
      </c>
    </row>
    <row r="182">
      <c r="A182" s="4" t="s">
        <v>244</v>
      </c>
      <c r="B182" s="4" t="s">
        <v>238</v>
      </c>
      <c r="C182" s="4" t="s">
        <v>91</v>
      </c>
      <c r="D182" s="6">
        <v>36.0</v>
      </c>
      <c r="E182" s="6">
        <v>7.0</v>
      </c>
      <c r="F182" s="6">
        <v>7.0</v>
      </c>
      <c r="G182" s="6">
        <v>36.0</v>
      </c>
      <c r="H182" s="6">
        <v>1.0</v>
      </c>
      <c r="I182" s="6">
        <v>1.0</v>
      </c>
      <c r="J182" s="6">
        <v>22.0</v>
      </c>
      <c r="K182" s="6">
        <v>342.0</v>
      </c>
      <c r="L182" s="4" t="s">
        <v>211</v>
      </c>
      <c r="M182" s="6">
        <v>239.0</v>
      </c>
      <c r="N182" s="6">
        <v>10.0</v>
      </c>
      <c r="O182" s="6">
        <v>30.0</v>
      </c>
      <c r="P182" s="6">
        <v>14.0</v>
      </c>
      <c r="Q182" s="6">
        <v>0.0</v>
      </c>
      <c r="R182" s="6">
        <v>6.0</v>
      </c>
      <c r="S182" s="7"/>
      <c r="T182" s="6">
        <v>4.0</v>
      </c>
      <c r="U182" s="6">
        <v>1875.0</v>
      </c>
      <c r="V182" s="7"/>
      <c r="W182" s="7"/>
      <c r="X182" s="8">
        <f t="shared" si="1"/>
        <v>0.7142857143</v>
      </c>
      <c r="Y182" s="9">
        <f t="shared" si="2"/>
        <v>24</v>
      </c>
      <c r="Z182" s="8">
        <f t="shared" si="3"/>
        <v>1.428571429</v>
      </c>
      <c r="AA182" s="8">
        <f t="shared" si="4"/>
        <v>2</v>
      </c>
      <c r="AB182" s="8">
        <f t="shared" si="5"/>
        <v>0.5714285714</v>
      </c>
      <c r="AC182" s="8">
        <f t="shared" si="6"/>
        <v>10</v>
      </c>
      <c r="AD182" s="8">
        <f t="shared" si="7"/>
        <v>14</v>
      </c>
      <c r="AE182" s="8">
        <f t="shared" si="8"/>
        <v>4</v>
      </c>
      <c r="AF182" s="8">
        <f t="shared" si="9"/>
        <v>10</v>
      </c>
      <c r="AG182" s="8">
        <f t="shared" si="10"/>
        <v>14</v>
      </c>
      <c r="AH182" s="8">
        <f t="shared" si="11"/>
        <v>4</v>
      </c>
      <c r="AI182" s="10">
        <f t="shared" si="12"/>
        <v>0.4545454545</v>
      </c>
      <c r="AJ182" s="11">
        <f t="shared" si="13"/>
        <v>0.6363636364</v>
      </c>
      <c r="AK182" s="12">
        <f t="shared" si="14"/>
        <v>0.1818181818</v>
      </c>
    </row>
    <row r="183">
      <c r="A183" s="4" t="s">
        <v>245</v>
      </c>
      <c r="B183" s="4" t="s">
        <v>238</v>
      </c>
      <c r="C183" s="4" t="s">
        <v>91</v>
      </c>
      <c r="D183" s="6">
        <v>40.0</v>
      </c>
      <c r="E183" s="6">
        <v>8.0</v>
      </c>
      <c r="F183" s="6">
        <v>8.0</v>
      </c>
      <c r="G183" s="6">
        <v>40.0</v>
      </c>
      <c r="H183" s="6">
        <v>1.0</v>
      </c>
      <c r="I183" s="6">
        <v>1.0</v>
      </c>
      <c r="J183" s="6">
        <v>25.0</v>
      </c>
      <c r="K183" s="6">
        <v>364.0</v>
      </c>
      <c r="L183" s="4" t="s">
        <v>211</v>
      </c>
      <c r="M183" s="6">
        <v>180.0</v>
      </c>
      <c r="N183" s="6">
        <v>10.0</v>
      </c>
      <c r="O183" s="6">
        <v>30.0</v>
      </c>
      <c r="P183" s="6">
        <v>14.0</v>
      </c>
      <c r="Q183" s="6">
        <v>0.0</v>
      </c>
      <c r="R183" s="6">
        <v>8.0</v>
      </c>
      <c r="S183" s="7"/>
      <c r="T183" s="6">
        <v>5.0</v>
      </c>
      <c r="U183" s="6">
        <v>2250.0</v>
      </c>
      <c r="V183" s="7"/>
      <c r="W183" s="7"/>
      <c r="X183" s="8">
        <f t="shared" si="1"/>
        <v>0.7142857143</v>
      </c>
      <c r="Y183" s="9">
        <f t="shared" si="2"/>
        <v>24</v>
      </c>
      <c r="Z183" s="8">
        <f t="shared" si="3"/>
        <v>1.25</v>
      </c>
      <c r="AA183" s="8">
        <f t="shared" si="4"/>
        <v>1.75</v>
      </c>
      <c r="AB183" s="8">
        <f t="shared" si="5"/>
        <v>0.625</v>
      </c>
      <c r="AC183" s="8">
        <f t="shared" si="6"/>
        <v>10</v>
      </c>
      <c r="AD183" s="8">
        <f t="shared" si="7"/>
        <v>14</v>
      </c>
      <c r="AE183" s="8">
        <f t="shared" si="8"/>
        <v>5</v>
      </c>
      <c r="AF183" s="8">
        <f t="shared" si="9"/>
        <v>10</v>
      </c>
      <c r="AG183" s="8">
        <f t="shared" si="10"/>
        <v>14</v>
      </c>
      <c r="AH183" s="8">
        <f t="shared" si="11"/>
        <v>5</v>
      </c>
      <c r="AI183" s="10">
        <f t="shared" si="12"/>
        <v>0.4</v>
      </c>
      <c r="AJ183" s="11">
        <f t="shared" si="13"/>
        <v>0.56</v>
      </c>
      <c r="AK183" s="12">
        <f t="shared" si="14"/>
        <v>0.2</v>
      </c>
    </row>
    <row r="184">
      <c r="A184" s="4" t="s">
        <v>246</v>
      </c>
      <c r="B184" s="4" t="s">
        <v>238</v>
      </c>
      <c r="C184" s="4" t="s">
        <v>92</v>
      </c>
      <c r="D184" s="6">
        <v>58.0</v>
      </c>
      <c r="E184" s="6">
        <v>13.0</v>
      </c>
      <c r="F184" s="6">
        <v>13.0</v>
      </c>
      <c r="G184" s="6">
        <v>58.0</v>
      </c>
      <c r="H184" s="6">
        <v>2.0</v>
      </c>
      <c r="I184" s="6">
        <v>2.0</v>
      </c>
      <c r="J184" s="6">
        <v>37.0</v>
      </c>
      <c r="K184" s="6">
        <v>380.0</v>
      </c>
      <c r="L184" s="4" t="s">
        <v>211</v>
      </c>
      <c r="M184" s="6">
        <v>180.0</v>
      </c>
      <c r="N184" s="6">
        <v>15.0</v>
      </c>
      <c r="O184" s="6">
        <v>60.0</v>
      </c>
      <c r="P184" s="6">
        <v>20.0</v>
      </c>
      <c r="Q184" s="6">
        <v>1.0</v>
      </c>
      <c r="R184" s="6">
        <v>7.0</v>
      </c>
      <c r="S184" s="7"/>
      <c r="T184" s="6">
        <v>5.0</v>
      </c>
      <c r="U184" s="6">
        <v>1875.0</v>
      </c>
      <c r="V184" s="7"/>
      <c r="W184" s="7"/>
      <c r="X184" s="8">
        <f t="shared" si="1"/>
        <v>0.75</v>
      </c>
      <c r="Y184" s="9">
        <f t="shared" si="2"/>
        <v>35</v>
      </c>
      <c r="Z184" s="8">
        <f t="shared" si="3"/>
        <v>1.153846154</v>
      </c>
      <c r="AA184" s="8">
        <f t="shared" si="4"/>
        <v>1.538461538</v>
      </c>
      <c r="AB184" s="8">
        <f t="shared" si="5"/>
        <v>0.3846153846</v>
      </c>
      <c r="AC184" s="8">
        <f t="shared" si="6"/>
        <v>7.5</v>
      </c>
      <c r="AD184" s="8">
        <f t="shared" si="7"/>
        <v>10</v>
      </c>
      <c r="AE184" s="8">
        <f t="shared" si="8"/>
        <v>2.5</v>
      </c>
      <c r="AF184" s="8">
        <f t="shared" si="9"/>
        <v>7.5</v>
      </c>
      <c r="AG184" s="8">
        <f t="shared" si="10"/>
        <v>10</v>
      </c>
      <c r="AH184" s="8">
        <f t="shared" si="11"/>
        <v>2.5</v>
      </c>
      <c r="AI184" s="10">
        <f t="shared" si="12"/>
        <v>0.4054054054</v>
      </c>
      <c r="AJ184" s="11">
        <f t="shared" si="13"/>
        <v>0.5405405405</v>
      </c>
      <c r="AK184" s="12">
        <f t="shared" si="14"/>
        <v>0.1351351351</v>
      </c>
    </row>
    <row r="185">
      <c r="A185" s="4" t="s">
        <v>246</v>
      </c>
      <c r="B185" s="4" t="s">
        <v>238</v>
      </c>
      <c r="C185" s="4" t="s">
        <v>73</v>
      </c>
      <c r="D185" s="6">
        <v>58.0</v>
      </c>
      <c r="E185" s="6">
        <v>13.0</v>
      </c>
      <c r="F185" s="6">
        <v>13.0</v>
      </c>
      <c r="G185" s="6">
        <v>58.0</v>
      </c>
      <c r="H185" s="6">
        <v>1.0</v>
      </c>
      <c r="I185" s="6">
        <v>2.0</v>
      </c>
      <c r="J185" s="6">
        <v>27.0</v>
      </c>
      <c r="K185" s="6">
        <v>380.0</v>
      </c>
      <c r="L185" s="4" t="s">
        <v>211</v>
      </c>
      <c r="M185" s="6">
        <v>180.0</v>
      </c>
      <c r="N185" s="6">
        <v>15.0</v>
      </c>
      <c r="O185" s="6">
        <v>60.0</v>
      </c>
      <c r="P185" s="6">
        <v>20.0</v>
      </c>
      <c r="Q185" s="6">
        <v>1.0</v>
      </c>
      <c r="R185" s="6">
        <v>7.0</v>
      </c>
      <c r="S185" s="7"/>
      <c r="T185" s="6">
        <v>5.0</v>
      </c>
      <c r="U185" s="6">
        <v>1875.0</v>
      </c>
      <c r="V185" s="7"/>
      <c r="W185" s="7"/>
      <c r="X185" s="8">
        <f t="shared" si="1"/>
        <v>0.75</v>
      </c>
      <c r="Y185" s="9">
        <f t="shared" si="2"/>
        <v>35</v>
      </c>
      <c r="Z185" s="8">
        <f t="shared" si="3"/>
        <v>1.153846154</v>
      </c>
      <c r="AA185" s="8">
        <f t="shared" si="4"/>
        <v>1.538461538</v>
      </c>
      <c r="AB185" s="8">
        <f t="shared" si="5"/>
        <v>0.3846153846</v>
      </c>
      <c r="AC185" s="8">
        <f t="shared" si="6"/>
        <v>7.5</v>
      </c>
      <c r="AD185" s="8">
        <f t="shared" si="7"/>
        <v>10</v>
      </c>
      <c r="AE185" s="8">
        <f t="shared" si="8"/>
        <v>2.5</v>
      </c>
      <c r="AF185" s="8">
        <f t="shared" si="9"/>
        <v>15</v>
      </c>
      <c r="AG185" s="8">
        <f t="shared" si="10"/>
        <v>20</v>
      </c>
      <c r="AH185" s="8">
        <f t="shared" si="11"/>
        <v>5</v>
      </c>
      <c r="AI185" s="10">
        <f t="shared" si="12"/>
        <v>0.5555555556</v>
      </c>
      <c r="AJ185" s="11">
        <f t="shared" si="13"/>
        <v>0.7407407407</v>
      </c>
      <c r="AK185" s="12">
        <f t="shared" si="14"/>
        <v>0.1851851852</v>
      </c>
    </row>
    <row r="186">
      <c r="A186" s="4" t="s">
        <v>247</v>
      </c>
      <c r="B186" s="4" t="s">
        <v>238</v>
      </c>
      <c r="C186" s="4" t="s">
        <v>73</v>
      </c>
      <c r="D186" s="6">
        <v>68.0</v>
      </c>
      <c r="E186" s="6">
        <v>15.0</v>
      </c>
      <c r="F186" s="6">
        <v>15.0</v>
      </c>
      <c r="G186" s="6">
        <v>68.0</v>
      </c>
      <c r="H186" s="6">
        <v>1.0</v>
      </c>
      <c r="I186" s="6">
        <v>3.0</v>
      </c>
      <c r="J186" s="6">
        <v>31.0</v>
      </c>
      <c r="K186" s="6">
        <v>335.0</v>
      </c>
      <c r="L186" s="4" t="s">
        <v>211</v>
      </c>
      <c r="M186" s="6">
        <v>210.0</v>
      </c>
      <c r="N186" s="6">
        <v>25.0</v>
      </c>
      <c r="O186" s="6">
        <v>150.0</v>
      </c>
      <c r="P186" s="6">
        <v>28.0</v>
      </c>
      <c r="Q186" s="6">
        <v>1.0</v>
      </c>
      <c r="R186" s="6">
        <v>7.0</v>
      </c>
      <c r="S186" s="7"/>
      <c r="T186" s="6">
        <v>6.0</v>
      </c>
      <c r="U186" s="6">
        <v>2343.0</v>
      </c>
      <c r="V186" s="7"/>
      <c r="W186" s="7"/>
      <c r="X186" s="8">
        <f t="shared" si="1"/>
        <v>0.8928571429</v>
      </c>
      <c r="Y186" s="9">
        <f t="shared" si="2"/>
        <v>53</v>
      </c>
      <c r="Z186" s="8">
        <f t="shared" si="3"/>
        <v>1.666666667</v>
      </c>
      <c r="AA186" s="8">
        <f t="shared" si="4"/>
        <v>1.866666667</v>
      </c>
      <c r="AB186" s="8">
        <f t="shared" si="5"/>
        <v>0.4</v>
      </c>
      <c r="AC186" s="8">
        <f t="shared" si="6"/>
        <v>8.333333333</v>
      </c>
      <c r="AD186" s="8">
        <f t="shared" si="7"/>
        <v>9.333333333</v>
      </c>
      <c r="AE186" s="8">
        <f t="shared" si="8"/>
        <v>2</v>
      </c>
      <c r="AF186" s="8">
        <f t="shared" si="9"/>
        <v>25</v>
      </c>
      <c r="AG186" s="8">
        <f t="shared" si="10"/>
        <v>28</v>
      </c>
      <c r="AH186" s="8">
        <f t="shared" si="11"/>
        <v>6</v>
      </c>
      <c r="AI186" s="10">
        <f t="shared" si="12"/>
        <v>0.8064516129</v>
      </c>
      <c r="AJ186" s="11">
        <f t="shared" si="13"/>
        <v>0.9032258065</v>
      </c>
      <c r="AK186" s="12">
        <f t="shared" si="14"/>
        <v>0.1935483871</v>
      </c>
    </row>
    <row r="187">
      <c r="A187" s="4" t="s">
        <v>248</v>
      </c>
      <c r="B187" s="4" t="s">
        <v>238</v>
      </c>
      <c r="C187" s="4" t="s">
        <v>64</v>
      </c>
      <c r="D187" s="6">
        <v>68.0</v>
      </c>
      <c r="E187" s="6">
        <v>15.0</v>
      </c>
      <c r="F187" s="6">
        <v>15.0</v>
      </c>
      <c r="G187" s="6">
        <v>68.0</v>
      </c>
      <c r="H187" s="6">
        <v>1.0</v>
      </c>
      <c r="I187" s="6">
        <v>3.0</v>
      </c>
      <c r="J187" s="6">
        <v>42.0</v>
      </c>
      <c r="K187" s="6">
        <v>298.0</v>
      </c>
      <c r="L187" s="4" t="s">
        <v>211</v>
      </c>
      <c r="M187" s="6">
        <v>210.0</v>
      </c>
      <c r="N187" s="6">
        <v>25.0</v>
      </c>
      <c r="O187" s="6">
        <v>150.0</v>
      </c>
      <c r="P187" s="6">
        <v>28.0</v>
      </c>
      <c r="Q187" s="6">
        <v>0.0</v>
      </c>
      <c r="R187" s="6">
        <v>6.0</v>
      </c>
      <c r="S187" s="7"/>
      <c r="T187" s="6">
        <v>9.0</v>
      </c>
      <c r="U187" s="6">
        <v>2062.0</v>
      </c>
      <c r="V187" s="7"/>
      <c r="W187" s="7"/>
      <c r="X187" s="8">
        <f t="shared" si="1"/>
        <v>0.8928571429</v>
      </c>
      <c r="Y187" s="9">
        <f t="shared" si="2"/>
        <v>53</v>
      </c>
      <c r="Z187" s="8">
        <f t="shared" si="3"/>
        <v>1.666666667</v>
      </c>
      <c r="AA187" s="8">
        <f t="shared" si="4"/>
        <v>1.866666667</v>
      </c>
      <c r="AB187" s="8">
        <f t="shared" si="5"/>
        <v>0.6</v>
      </c>
      <c r="AC187" s="8">
        <f t="shared" si="6"/>
        <v>8.333333333</v>
      </c>
      <c r="AD187" s="8">
        <f t="shared" si="7"/>
        <v>9.333333333</v>
      </c>
      <c r="AE187" s="8">
        <f t="shared" si="8"/>
        <v>3</v>
      </c>
      <c r="AF187" s="8">
        <f t="shared" si="9"/>
        <v>25</v>
      </c>
      <c r="AG187" s="8">
        <f t="shared" si="10"/>
        <v>28</v>
      </c>
      <c r="AH187" s="8">
        <f t="shared" si="11"/>
        <v>9</v>
      </c>
      <c r="AI187" s="10">
        <f t="shared" si="12"/>
        <v>0.5952380952</v>
      </c>
      <c r="AJ187" s="11">
        <f t="shared" si="13"/>
        <v>0.6666666667</v>
      </c>
      <c r="AK187" s="12">
        <f t="shared" si="14"/>
        <v>0.2142857143</v>
      </c>
    </row>
    <row r="188">
      <c r="A188" s="4" t="s">
        <v>249</v>
      </c>
      <c r="B188" s="4" t="s">
        <v>238</v>
      </c>
      <c r="C188" s="4" t="s">
        <v>49</v>
      </c>
      <c r="D188" s="6">
        <v>151.0</v>
      </c>
      <c r="E188" s="6">
        <v>35.0</v>
      </c>
      <c r="F188" s="6">
        <v>35.0</v>
      </c>
      <c r="G188" s="6">
        <v>151.0</v>
      </c>
      <c r="H188" s="6">
        <v>1.0</v>
      </c>
      <c r="I188" s="6">
        <v>6.0</v>
      </c>
      <c r="J188" s="6">
        <v>94.0</v>
      </c>
      <c r="K188" s="6">
        <v>334.0</v>
      </c>
      <c r="L188" s="4" t="s">
        <v>211</v>
      </c>
      <c r="M188" s="6">
        <v>300.0</v>
      </c>
      <c r="N188" s="6">
        <v>40.0</v>
      </c>
      <c r="O188" s="6">
        <v>225.0</v>
      </c>
      <c r="P188" s="6">
        <v>28.0</v>
      </c>
      <c r="Q188" s="6">
        <v>2.0</v>
      </c>
      <c r="R188" s="6">
        <v>8.0</v>
      </c>
      <c r="S188" s="7"/>
      <c r="T188" s="6">
        <v>8.0</v>
      </c>
      <c r="U188" s="6">
        <v>2250.0</v>
      </c>
      <c r="V188" s="7"/>
      <c r="W188" s="7"/>
      <c r="X188" s="8">
        <f t="shared" si="1"/>
        <v>1.428571429</v>
      </c>
      <c r="Y188" s="9">
        <f t="shared" si="2"/>
        <v>68</v>
      </c>
      <c r="Z188" s="8">
        <f t="shared" si="3"/>
        <v>1.142857143</v>
      </c>
      <c r="AA188" s="8">
        <f t="shared" si="4"/>
        <v>0.8</v>
      </c>
      <c r="AB188" s="8">
        <f t="shared" si="5"/>
        <v>0.2285714286</v>
      </c>
      <c r="AC188" s="8">
        <f t="shared" si="6"/>
        <v>6.666666667</v>
      </c>
      <c r="AD188" s="8">
        <f t="shared" si="7"/>
        <v>4.666666667</v>
      </c>
      <c r="AE188" s="8">
        <f t="shared" si="8"/>
        <v>1.333333333</v>
      </c>
      <c r="AF188" s="8">
        <f t="shared" si="9"/>
        <v>40</v>
      </c>
      <c r="AG188" s="8">
        <f t="shared" si="10"/>
        <v>28</v>
      </c>
      <c r="AH188" s="8">
        <f t="shared" si="11"/>
        <v>8</v>
      </c>
      <c r="AI188" s="10">
        <f t="shared" si="12"/>
        <v>0.4255319149</v>
      </c>
      <c r="AJ188" s="11">
        <f t="shared" si="13"/>
        <v>0.2978723404</v>
      </c>
      <c r="AK188" s="12">
        <f t="shared" si="14"/>
        <v>0.08510638298</v>
      </c>
    </row>
    <row r="189">
      <c r="A189" s="4" t="s">
        <v>250</v>
      </c>
      <c r="B189" s="4" t="s">
        <v>238</v>
      </c>
      <c r="C189" s="4" t="s">
        <v>171</v>
      </c>
      <c r="D189" s="6">
        <v>43.0</v>
      </c>
      <c r="E189" s="6">
        <v>10.0</v>
      </c>
      <c r="F189" s="6">
        <v>10.0</v>
      </c>
      <c r="G189" s="6">
        <v>43.0</v>
      </c>
      <c r="H189" s="6">
        <v>1.0</v>
      </c>
      <c r="I189" s="6">
        <v>1.0</v>
      </c>
      <c r="J189" s="6">
        <v>26.0</v>
      </c>
      <c r="K189" s="6">
        <v>356.0</v>
      </c>
      <c r="L189" s="4" t="s">
        <v>211</v>
      </c>
      <c r="M189" s="6">
        <v>195.0</v>
      </c>
      <c r="N189" s="6">
        <v>15.0</v>
      </c>
      <c r="O189" s="6">
        <v>60.0</v>
      </c>
      <c r="P189" s="6">
        <v>14.0</v>
      </c>
      <c r="Q189" s="6">
        <v>0.0</v>
      </c>
      <c r="R189" s="6">
        <v>2.0</v>
      </c>
      <c r="S189" s="7"/>
      <c r="T189" s="6">
        <v>4.0</v>
      </c>
      <c r="U189" s="6">
        <v>2437.0</v>
      </c>
      <c r="V189" s="7"/>
      <c r="W189" s="7"/>
      <c r="X189" s="8">
        <f t="shared" si="1"/>
        <v>1.071428571</v>
      </c>
      <c r="Y189" s="9">
        <f t="shared" si="2"/>
        <v>29</v>
      </c>
      <c r="Z189" s="8">
        <f t="shared" si="3"/>
        <v>1.5</v>
      </c>
      <c r="AA189" s="8">
        <f t="shared" si="4"/>
        <v>1.4</v>
      </c>
      <c r="AB189" s="8">
        <f t="shared" si="5"/>
        <v>0.4</v>
      </c>
      <c r="AC189" s="8">
        <f t="shared" si="6"/>
        <v>15</v>
      </c>
      <c r="AD189" s="8">
        <f t="shared" si="7"/>
        <v>14</v>
      </c>
      <c r="AE189" s="8">
        <f t="shared" si="8"/>
        <v>4</v>
      </c>
      <c r="AF189" s="8">
        <f t="shared" si="9"/>
        <v>15</v>
      </c>
      <c r="AG189" s="8">
        <f t="shared" si="10"/>
        <v>14</v>
      </c>
      <c r="AH189" s="8">
        <f t="shared" si="11"/>
        <v>4</v>
      </c>
      <c r="AI189" s="10">
        <f t="shared" si="12"/>
        <v>0.5769230769</v>
      </c>
      <c r="AJ189" s="11">
        <f t="shared" si="13"/>
        <v>0.5384615385</v>
      </c>
      <c r="AK189" s="12">
        <f t="shared" si="14"/>
        <v>0.1538461538</v>
      </c>
    </row>
    <row r="190">
      <c r="A190" s="4" t="s">
        <v>251</v>
      </c>
      <c r="B190" s="4" t="s">
        <v>238</v>
      </c>
      <c r="C190" s="4" t="s">
        <v>91</v>
      </c>
      <c r="D190" s="6">
        <v>36.0</v>
      </c>
      <c r="E190" s="6">
        <v>7.0</v>
      </c>
      <c r="F190" s="6">
        <v>7.0</v>
      </c>
      <c r="G190" s="6">
        <v>36.0</v>
      </c>
      <c r="H190" s="6">
        <v>1.0</v>
      </c>
      <c r="I190" s="6">
        <v>1.0</v>
      </c>
      <c r="J190" s="6">
        <v>22.0</v>
      </c>
      <c r="K190" s="6">
        <v>369.0</v>
      </c>
      <c r="L190" s="4" t="s">
        <v>211</v>
      </c>
      <c r="M190" s="6">
        <v>225.0</v>
      </c>
      <c r="N190" s="6">
        <v>10.0</v>
      </c>
      <c r="O190" s="6">
        <v>60.0</v>
      </c>
      <c r="P190" s="6">
        <v>20.0</v>
      </c>
      <c r="Q190" s="6">
        <v>0.0</v>
      </c>
      <c r="R190" s="6">
        <v>6.0</v>
      </c>
      <c r="S190" s="7"/>
      <c r="T190" s="6">
        <v>4.0</v>
      </c>
      <c r="U190" s="6">
        <v>1687.0</v>
      </c>
      <c r="V190" s="7"/>
      <c r="W190" s="7"/>
      <c r="X190" s="8">
        <f t="shared" si="1"/>
        <v>0.5</v>
      </c>
      <c r="Y190" s="9">
        <f t="shared" si="2"/>
        <v>30</v>
      </c>
      <c r="Z190" s="8">
        <f t="shared" si="3"/>
        <v>1.428571429</v>
      </c>
      <c r="AA190" s="8">
        <f t="shared" si="4"/>
        <v>2.857142857</v>
      </c>
      <c r="AB190" s="8">
        <f t="shared" si="5"/>
        <v>0.5714285714</v>
      </c>
      <c r="AC190" s="8">
        <f t="shared" si="6"/>
        <v>10</v>
      </c>
      <c r="AD190" s="8">
        <f t="shared" si="7"/>
        <v>20</v>
      </c>
      <c r="AE190" s="8">
        <f t="shared" si="8"/>
        <v>4</v>
      </c>
      <c r="AF190" s="8">
        <f t="shared" si="9"/>
        <v>10</v>
      </c>
      <c r="AG190" s="8">
        <f t="shared" si="10"/>
        <v>20</v>
      </c>
      <c r="AH190" s="8">
        <f t="shared" si="11"/>
        <v>4</v>
      </c>
      <c r="AI190" s="10">
        <f t="shared" si="12"/>
        <v>0.4545454545</v>
      </c>
      <c r="AJ190" s="11">
        <f t="shared" si="13"/>
        <v>0.9090909091</v>
      </c>
      <c r="AK190" s="12">
        <f t="shared" si="14"/>
        <v>0.1818181818</v>
      </c>
    </row>
    <row r="191">
      <c r="A191" s="4" t="s">
        <v>211</v>
      </c>
      <c r="B191" s="4" t="s">
        <v>238</v>
      </c>
      <c r="C191" s="4" t="s">
        <v>70</v>
      </c>
      <c r="D191" s="6">
        <v>28.0</v>
      </c>
      <c r="E191" s="6">
        <v>12.0</v>
      </c>
      <c r="F191" s="6">
        <v>6.0</v>
      </c>
      <c r="G191" s="6">
        <v>114.0</v>
      </c>
      <c r="H191" s="6">
        <v>0.0</v>
      </c>
      <c r="I191" s="6">
        <v>1.0</v>
      </c>
      <c r="J191" s="6">
        <v>35.0</v>
      </c>
      <c r="K191" s="6">
        <v>320.0</v>
      </c>
      <c r="L191" s="4" t="s">
        <v>211</v>
      </c>
      <c r="M191" s="6">
        <v>105.0</v>
      </c>
      <c r="N191" s="6">
        <v>10.0</v>
      </c>
      <c r="O191" s="6">
        <v>50.0</v>
      </c>
      <c r="P191" s="6">
        <v>20.0</v>
      </c>
      <c r="Q191" s="6">
        <v>0.0</v>
      </c>
      <c r="R191" s="6">
        <v>4.0</v>
      </c>
      <c r="S191" s="7"/>
      <c r="T191" s="6">
        <v>6.0</v>
      </c>
      <c r="U191" s="6">
        <v>2437.0</v>
      </c>
      <c r="V191" s="7"/>
      <c r="W191" s="7"/>
      <c r="X191" s="8">
        <f t="shared" si="1"/>
        <v>0.5</v>
      </c>
      <c r="Y191" s="9">
        <f t="shared" si="2"/>
        <v>30</v>
      </c>
      <c r="Z191" s="8">
        <f t="shared" si="3"/>
        <v>0.8333333333</v>
      </c>
      <c r="AA191" s="8">
        <f t="shared" si="4"/>
        <v>1.666666667</v>
      </c>
      <c r="AB191" s="8">
        <f t="shared" si="5"/>
        <v>0.5</v>
      </c>
      <c r="AC191" s="8">
        <f t="shared" si="6"/>
        <v>10</v>
      </c>
      <c r="AD191" s="8">
        <f t="shared" si="7"/>
        <v>20</v>
      </c>
      <c r="AE191" s="8">
        <f t="shared" si="8"/>
        <v>6</v>
      </c>
      <c r="AF191" s="8" t="str">
        <f t="shared" si="9"/>
        <v>#DIV/0!</v>
      </c>
      <c r="AG191" s="8" t="str">
        <f t="shared" si="10"/>
        <v>#DIV/0!</v>
      </c>
      <c r="AH191" s="8" t="str">
        <f t="shared" si="11"/>
        <v>#DIV/0!</v>
      </c>
      <c r="AI191" s="10">
        <f t="shared" si="12"/>
        <v>0.2857142857</v>
      </c>
      <c r="AJ191" s="11">
        <f t="shared" si="13"/>
        <v>0.5714285714</v>
      </c>
      <c r="AK191" s="12">
        <f t="shared" si="14"/>
        <v>0.1714285714</v>
      </c>
    </row>
    <row r="192">
      <c r="A192" s="4" t="s">
        <v>252</v>
      </c>
      <c r="B192" s="4" t="s">
        <v>238</v>
      </c>
      <c r="C192" s="4" t="s">
        <v>64</v>
      </c>
      <c r="D192" s="6">
        <v>41.0</v>
      </c>
      <c r="E192" s="6">
        <v>8.0</v>
      </c>
      <c r="F192" s="6">
        <v>8.0</v>
      </c>
      <c r="G192" s="6">
        <v>41.0</v>
      </c>
      <c r="H192" s="6">
        <v>1.0</v>
      </c>
      <c r="I192" s="6">
        <v>1.0</v>
      </c>
      <c r="J192" s="6">
        <v>25.0</v>
      </c>
      <c r="K192" s="6">
        <v>252.0</v>
      </c>
      <c r="L192" s="4" t="s">
        <v>211</v>
      </c>
      <c r="M192" s="6">
        <v>135.0</v>
      </c>
      <c r="N192" s="6">
        <v>20.0</v>
      </c>
      <c r="O192" s="6">
        <v>120.0</v>
      </c>
      <c r="P192" s="6">
        <v>14.0</v>
      </c>
      <c r="Q192" s="6">
        <v>0.0</v>
      </c>
      <c r="R192" s="6">
        <v>6.0</v>
      </c>
      <c r="S192" s="7"/>
      <c r="T192" s="6">
        <v>6.0</v>
      </c>
      <c r="U192" s="6">
        <v>2062.0</v>
      </c>
      <c r="V192" s="7"/>
      <c r="W192" s="7"/>
      <c r="X192" s="8">
        <f t="shared" si="1"/>
        <v>1.428571429</v>
      </c>
      <c r="Y192" s="9">
        <f t="shared" si="2"/>
        <v>34</v>
      </c>
      <c r="Z192" s="8">
        <f t="shared" si="3"/>
        <v>2.5</v>
      </c>
      <c r="AA192" s="8">
        <f t="shared" si="4"/>
        <v>1.75</v>
      </c>
      <c r="AB192" s="8">
        <f t="shared" si="5"/>
        <v>0.75</v>
      </c>
      <c r="AC192" s="8">
        <f t="shared" si="6"/>
        <v>20</v>
      </c>
      <c r="AD192" s="8">
        <f t="shared" si="7"/>
        <v>14</v>
      </c>
      <c r="AE192" s="8">
        <f t="shared" si="8"/>
        <v>6</v>
      </c>
      <c r="AF192" s="8">
        <f t="shared" si="9"/>
        <v>20</v>
      </c>
      <c r="AG192" s="8">
        <f t="shared" si="10"/>
        <v>14</v>
      </c>
      <c r="AH192" s="8">
        <f t="shared" si="11"/>
        <v>6</v>
      </c>
      <c r="AI192" s="10">
        <f t="shared" si="12"/>
        <v>0.8</v>
      </c>
      <c r="AJ192" s="11">
        <f t="shared" si="13"/>
        <v>0.56</v>
      </c>
      <c r="AK192" s="12">
        <f t="shared" si="14"/>
        <v>0.24</v>
      </c>
    </row>
    <row r="193">
      <c r="A193" s="4" t="s">
        <v>252</v>
      </c>
      <c r="B193" s="4" t="s">
        <v>238</v>
      </c>
      <c r="C193" s="4" t="s">
        <v>92</v>
      </c>
      <c r="D193" s="6">
        <v>57.0</v>
      </c>
      <c r="E193" s="6">
        <v>12.0</v>
      </c>
      <c r="F193" s="6">
        <v>12.0</v>
      </c>
      <c r="G193" s="6">
        <v>57.0</v>
      </c>
      <c r="H193" s="6">
        <v>2.0</v>
      </c>
      <c r="I193" s="6">
        <v>2.0</v>
      </c>
      <c r="J193" s="6">
        <v>35.0</v>
      </c>
      <c r="K193" s="6">
        <v>316.0</v>
      </c>
      <c r="L193" s="4" t="s">
        <v>211</v>
      </c>
      <c r="M193" s="6">
        <v>135.0</v>
      </c>
      <c r="N193" s="6">
        <v>25.0</v>
      </c>
      <c r="O193" s="6">
        <v>100.0</v>
      </c>
      <c r="P193" s="6">
        <v>14.0</v>
      </c>
      <c r="Q193" s="6">
        <v>0.0</v>
      </c>
      <c r="R193" s="6">
        <v>6.0</v>
      </c>
      <c r="S193" s="7"/>
      <c r="T193" s="6">
        <v>6.0</v>
      </c>
      <c r="U193" s="6">
        <v>2437.0</v>
      </c>
      <c r="V193" s="7"/>
      <c r="W193" s="7"/>
      <c r="X193" s="8">
        <f t="shared" si="1"/>
        <v>1.785714286</v>
      </c>
      <c r="Y193" s="9">
        <f t="shared" si="2"/>
        <v>39</v>
      </c>
      <c r="Z193" s="8">
        <f t="shared" si="3"/>
        <v>2.083333333</v>
      </c>
      <c r="AA193" s="8">
        <f t="shared" si="4"/>
        <v>1.166666667</v>
      </c>
      <c r="AB193" s="8">
        <f t="shared" si="5"/>
        <v>0.5</v>
      </c>
      <c r="AC193" s="8">
        <f t="shared" si="6"/>
        <v>12.5</v>
      </c>
      <c r="AD193" s="8">
        <f t="shared" si="7"/>
        <v>7</v>
      </c>
      <c r="AE193" s="8">
        <f t="shared" si="8"/>
        <v>3</v>
      </c>
      <c r="AF193" s="8">
        <f t="shared" si="9"/>
        <v>12.5</v>
      </c>
      <c r="AG193" s="8">
        <f t="shared" si="10"/>
        <v>7</v>
      </c>
      <c r="AH193" s="8">
        <f t="shared" si="11"/>
        <v>3</v>
      </c>
      <c r="AI193" s="10">
        <f t="shared" si="12"/>
        <v>0.7142857143</v>
      </c>
      <c r="AJ193" s="11">
        <f t="shared" si="13"/>
        <v>0.4</v>
      </c>
      <c r="AK193" s="12">
        <f t="shared" si="14"/>
        <v>0.1714285714</v>
      </c>
    </row>
    <row r="194">
      <c r="A194" s="4" t="s">
        <v>253</v>
      </c>
      <c r="B194" s="4" t="s">
        <v>238</v>
      </c>
      <c r="C194" s="4" t="s">
        <v>64</v>
      </c>
      <c r="D194" s="6">
        <v>58.0</v>
      </c>
      <c r="E194" s="6">
        <v>13.0</v>
      </c>
      <c r="F194" s="6">
        <v>13.0</v>
      </c>
      <c r="G194" s="6">
        <v>58.0</v>
      </c>
      <c r="H194" s="6">
        <v>1.0</v>
      </c>
      <c r="I194" s="6">
        <v>2.0</v>
      </c>
      <c r="J194" s="6">
        <v>37.0</v>
      </c>
      <c r="K194" s="6">
        <v>252.0</v>
      </c>
      <c r="L194" s="4" t="s">
        <v>211</v>
      </c>
      <c r="M194" s="6">
        <v>200.0</v>
      </c>
      <c r="N194" s="6">
        <v>20.0</v>
      </c>
      <c r="O194" s="6">
        <v>120.0</v>
      </c>
      <c r="P194" s="6">
        <v>14.0</v>
      </c>
      <c r="Q194" s="6">
        <v>0.0</v>
      </c>
      <c r="R194" s="6">
        <v>6.0</v>
      </c>
      <c r="S194" s="7"/>
      <c r="T194" s="6">
        <v>8.0</v>
      </c>
      <c r="U194" s="6">
        <v>2062.0</v>
      </c>
      <c r="V194" s="7"/>
      <c r="W194" s="7"/>
      <c r="X194" s="8">
        <f t="shared" si="1"/>
        <v>1.428571429</v>
      </c>
      <c r="Y194" s="9">
        <f t="shared" si="2"/>
        <v>34</v>
      </c>
      <c r="Z194" s="8">
        <f t="shared" si="3"/>
        <v>1.538461538</v>
      </c>
      <c r="AA194" s="8">
        <f t="shared" si="4"/>
        <v>1.076923077</v>
      </c>
      <c r="AB194" s="8">
        <f t="shared" si="5"/>
        <v>0.6153846154</v>
      </c>
      <c r="AC194" s="8">
        <f t="shared" si="6"/>
        <v>10</v>
      </c>
      <c r="AD194" s="8">
        <f t="shared" si="7"/>
        <v>7</v>
      </c>
      <c r="AE194" s="8">
        <f t="shared" si="8"/>
        <v>4</v>
      </c>
      <c r="AF194" s="8">
        <f t="shared" si="9"/>
        <v>20</v>
      </c>
      <c r="AG194" s="8">
        <f t="shared" si="10"/>
        <v>14</v>
      </c>
      <c r="AH194" s="8">
        <f t="shared" si="11"/>
        <v>8</v>
      </c>
      <c r="AI194" s="10">
        <f t="shared" si="12"/>
        <v>0.5405405405</v>
      </c>
      <c r="AJ194" s="11">
        <f t="shared" si="13"/>
        <v>0.3783783784</v>
      </c>
      <c r="AK194" s="12">
        <f t="shared" si="14"/>
        <v>0.2162162162</v>
      </c>
    </row>
    <row r="195">
      <c r="A195" s="4" t="s">
        <v>253</v>
      </c>
      <c r="B195" s="4" t="s">
        <v>238</v>
      </c>
      <c r="C195" s="4" t="s">
        <v>64</v>
      </c>
      <c r="D195" s="6">
        <v>71.0</v>
      </c>
      <c r="E195" s="6">
        <v>16.0</v>
      </c>
      <c r="F195" s="6">
        <v>16.0</v>
      </c>
      <c r="G195" s="6">
        <v>71.0</v>
      </c>
      <c r="H195" s="6">
        <v>1.0</v>
      </c>
      <c r="I195" s="6">
        <v>3.0</v>
      </c>
      <c r="J195" s="6">
        <v>43.0</v>
      </c>
      <c r="K195" s="6">
        <v>266.0</v>
      </c>
      <c r="L195" s="4" t="s">
        <v>211</v>
      </c>
      <c r="M195" s="6">
        <v>165.0</v>
      </c>
      <c r="N195" s="6">
        <v>20.0</v>
      </c>
      <c r="O195" s="6">
        <v>120.0</v>
      </c>
      <c r="P195" s="6">
        <v>14.0</v>
      </c>
      <c r="Q195" s="6">
        <v>0.0</v>
      </c>
      <c r="R195" s="6">
        <v>6.0</v>
      </c>
      <c r="S195" s="7"/>
      <c r="T195" s="6">
        <v>6.0</v>
      </c>
      <c r="U195" s="6">
        <v>2473.0</v>
      </c>
      <c r="V195" s="7"/>
      <c r="W195" s="7"/>
      <c r="X195" s="8">
        <f t="shared" si="1"/>
        <v>1.428571429</v>
      </c>
      <c r="Y195" s="9">
        <f t="shared" si="2"/>
        <v>34</v>
      </c>
      <c r="Z195" s="8">
        <f t="shared" si="3"/>
        <v>1.25</v>
      </c>
      <c r="AA195" s="8">
        <f t="shared" si="4"/>
        <v>0.875</v>
      </c>
      <c r="AB195" s="8">
        <f t="shared" si="5"/>
        <v>0.375</v>
      </c>
      <c r="AC195" s="8">
        <f t="shared" si="6"/>
        <v>6.666666667</v>
      </c>
      <c r="AD195" s="8">
        <f t="shared" si="7"/>
        <v>4.666666667</v>
      </c>
      <c r="AE195" s="8">
        <f t="shared" si="8"/>
        <v>2</v>
      </c>
      <c r="AF195" s="8">
        <f t="shared" si="9"/>
        <v>20</v>
      </c>
      <c r="AG195" s="8">
        <f t="shared" si="10"/>
        <v>14</v>
      </c>
      <c r="AH195" s="8">
        <f t="shared" si="11"/>
        <v>6</v>
      </c>
      <c r="AI195" s="10">
        <f t="shared" si="12"/>
        <v>0.4651162791</v>
      </c>
      <c r="AJ195" s="11">
        <f t="shared" si="13"/>
        <v>0.3255813953</v>
      </c>
      <c r="AK195" s="12">
        <f t="shared" si="14"/>
        <v>0.1395348837</v>
      </c>
    </row>
    <row r="196">
      <c r="A196" s="4" t="s">
        <v>254</v>
      </c>
      <c r="B196" s="4" t="s">
        <v>238</v>
      </c>
      <c r="C196" s="4" t="s">
        <v>49</v>
      </c>
      <c r="D196" s="6">
        <v>73.0</v>
      </c>
      <c r="E196" s="6">
        <v>16.0</v>
      </c>
      <c r="F196" s="6">
        <v>16.0</v>
      </c>
      <c r="G196" s="6">
        <v>73.0</v>
      </c>
      <c r="H196" s="6">
        <v>1.0</v>
      </c>
      <c r="I196" s="6">
        <v>3.0</v>
      </c>
      <c r="J196" s="6">
        <v>45.0</v>
      </c>
      <c r="K196" s="6">
        <v>334.0</v>
      </c>
      <c r="L196" s="4" t="s">
        <v>211</v>
      </c>
      <c r="M196" s="6">
        <v>150.0</v>
      </c>
      <c r="N196" s="6">
        <v>15.0</v>
      </c>
      <c r="O196" s="6">
        <v>75.0</v>
      </c>
      <c r="P196" s="6">
        <v>14.0</v>
      </c>
      <c r="Q196" s="6">
        <v>0.0</v>
      </c>
      <c r="R196" s="6">
        <v>7.0</v>
      </c>
      <c r="S196" s="7"/>
      <c r="T196" s="6">
        <v>8.0</v>
      </c>
      <c r="U196" s="6">
        <v>2250.0</v>
      </c>
      <c r="V196" s="7"/>
      <c r="W196" s="7"/>
      <c r="X196" s="8">
        <f t="shared" si="1"/>
        <v>1.071428571</v>
      </c>
      <c r="Y196" s="9">
        <f t="shared" si="2"/>
        <v>29</v>
      </c>
      <c r="Z196" s="8">
        <f t="shared" si="3"/>
        <v>0.9375</v>
      </c>
      <c r="AA196" s="8">
        <f t="shared" si="4"/>
        <v>0.875</v>
      </c>
      <c r="AB196" s="8">
        <f t="shared" si="5"/>
        <v>0.5</v>
      </c>
      <c r="AC196" s="8">
        <f t="shared" si="6"/>
        <v>5</v>
      </c>
      <c r="AD196" s="8">
        <f t="shared" si="7"/>
        <v>4.666666667</v>
      </c>
      <c r="AE196" s="8">
        <f t="shared" si="8"/>
        <v>2.666666667</v>
      </c>
      <c r="AF196" s="8">
        <f t="shared" si="9"/>
        <v>15</v>
      </c>
      <c r="AG196" s="8">
        <f t="shared" si="10"/>
        <v>14</v>
      </c>
      <c r="AH196" s="8">
        <f t="shared" si="11"/>
        <v>8</v>
      </c>
      <c r="AI196" s="10">
        <f t="shared" si="12"/>
        <v>0.3333333333</v>
      </c>
      <c r="AJ196" s="11">
        <f t="shared" si="13"/>
        <v>0.3111111111</v>
      </c>
      <c r="AK196" s="12">
        <f t="shared" si="14"/>
        <v>0.1777777778</v>
      </c>
    </row>
    <row r="197">
      <c r="A197" s="4" t="s">
        <v>168</v>
      </c>
      <c r="B197" s="4" t="s">
        <v>238</v>
      </c>
      <c r="C197" s="4" t="s">
        <v>168</v>
      </c>
      <c r="D197" s="6">
        <v>12.0</v>
      </c>
      <c r="E197" s="6">
        <v>5.0</v>
      </c>
      <c r="F197" s="6">
        <v>10.0</v>
      </c>
      <c r="G197" s="6">
        <v>12.0</v>
      </c>
      <c r="H197" s="6">
        <v>0.0</v>
      </c>
      <c r="I197" s="6">
        <v>1.0</v>
      </c>
      <c r="J197" s="6">
        <v>14.0</v>
      </c>
      <c r="K197" s="6">
        <v>387.0</v>
      </c>
      <c r="L197" s="4" t="s">
        <v>211</v>
      </c>
      <c r="M197" s="6">
        <v>120.0</v>
      </c>
      <c r="N197" s="6">
        <v>25.0</v>
      </c>
      <c r="O197" s="6">
        <v>100.0</v>
      </c>
      <c r="P197" s="6">
        <v>28.0</v>
      </c>
      <c r="Q197" s="6">
        <v>0.0</v>
      </c>
      <c r="R197" s="6">
        <v>5.0</v>
      </c>
      <c r="S197" s="7"/>
      <c r="T197" s="6">
        <v>6.0</v>
      </c>
      <c r="U197" s="6">
        <v>2062.0</v>
      </c>
      <c r="V197" s="7"/>
      <c r="W197" s="7"/>
      <c r="X197" s="8">
        <f t="shared" si="1"/>
        <v>0.8928571429</v>
      </c>
      <c r="Y197" s="9">
        <f t="shared" si="2"/>
        <v>53</v>
      </c>
      <c r="Z197" s="8">
        <f t="shared" si="3"/>
        <v>5</v>
      </c>
      <c r="AA197" s="8">
        <f t="shared" si="4"/>
        <v>5.6</v>
      </c>
      <c r="AB197" s="8">
        <f t="shared" si="5"/>
        <v>1.2</v>
      </c>
      <c r="AC197" s="8">
        <f t="shared" si="6"/>
        <v>25</v>
      </c>
      <c r="AD197" s="8">
        <f t="shared" si="7"/>
        <v>28</v>
      </c>
      <c r="AE197" s="8">
        <f t="shared" si="8"/>
        <v>6</v>
      </c>
      <c r="AF197" s="8" t="str">
        <f t="shared" si="9"/>
        <v>#DIV/0!</v>
      </c>
      <c r="AG197" s="8" t="str">
        <f t="shared" si="10"/>
        <v>#DIV/0!</v>
      </c>
      <c r="AH197" s="8" t="str">
        <f t="shared" si="11"/>
        <v>#DIV/0!</v>
      </c>
      <c r="AI197" s="10">
        <f t="shared" si="12"/>
        <v>1.785714286</v>
      </c>
      <c r="AJ197" s="11">
        <f t="shared" si="13"/>
        <v>2</v>
      </c>
      <c r="AK197" s="12">
        <f t="shared" si="14"/>
        <v>0.4285714286</v>
      </c>
    </row>
    <row r="198">
      <c r="A198" s="4" t="s">
        <v>255</v>
      </c>
      <c r="B198" s="4" t="s">
        <v>238</v>
      </c>
      <c r="C198" s="4" t="s">
        <v>168</v>
      </c>
      <c r="D198" s="6">
        <v>12.0</v>
      </c>
      <c r="E198" s="6">
        <v>5.0</v>
      </c>
      <c r="F198" s="6">
        <v>10.0</v>
      </c>
      <c r="G198" s="6">
        <v>12.0</v>
      </c>
      <c r="H198" s="6">
        <v>0.0</v>
      </c>
      <c r="I198" s="6">
        <v>1.0</v>
      </c>
      <c r="J198" s="6">
        <v>14.0</v>
      </c>
      <c r="K198" s="6">
        <v>368.0</v>
      </c>
      <c r="L198" s="4" t="s">
        <v>211</v>
      </c>
      <c r="M198" s="6">
        <v>120.0</v>
      </c>
      <c r="N198" s="6">
        <v>25.0</v>
      </c>
      <c r="O198" s="6">
        <v>100.0</v>
      </c>
      <c r="P198" s="6">
        <v>39.0</v>
      </c>
      <c r="Q198" s="6">
        <v>0.0</v>
      </c>
      <c r="R198" s="6">
        <v>5.0</v>
      </c>
      <c r="S198" s="7"/>
      <c r="T198" s="6">
        <v>6.0</v>
      </c>
      <c r="U198" s="6">
        <v>1968.0</v>
      </c>
      <c r="V198" s="7"/>
      <c r="W198" s="7"/>
      <c r="X198" s="8">
        <f t="shared" si="1"/>
        <v>0.641025641</v>
      </c>
      <c r="Y198" s="9">
        <f t="shared" si="2"/>
        <v>64</v>
      </c>
      <c r="Z198" s="8">
        <f t="shared" si="3"/>
        <v>5</v>
      </c>
      <c r="AA198" s="8">
        <f t="shared" si="4"/>
        <v>7.8</v>
      </c>
      <c r="AB198" s="8">
        <f t="shared" si="5"/>
        <v>1.2</v>
      </c>
      <c r="AC198" s="8">
        <f t="shared" si="6"/>
        <v>25</v>
      </c>
      <c r="AD198" s="8">
        <f t="shared" si="7"/>
        <v>39</v>
      </c>
      <c r="AE198" s="8">
        <f t="shared" si="8"/>
        <v>6</v>
      </c>
      <c r="AF198" s="8" t="str">
        <f t="shared" si="9"/>
        <v>#DIV/0!</v>
      </c>
      <c r="AG198" s="8" t="str">
        <f t="shared" si="10"/>
        <v>#DIV/0!</v>
      </c>
      <c r="AH198" s="8" t="str">
        <f t="shared" si="11"/>
        <v>#DIV/0!</v>
      </c>
      <c r="AI198" s="10">
        <f t="shared" si="12"/>
        <v>1.785714286</v>
      </c>
      <c r="AJ198" s="11">
        <f t="shared" si="13"/>
        <v>2.785714286</v>
      </c>
      <c r="AK198" s="12">
        <f t="shared" si="14"/>
        <v>0.4285714286</v>
      </c>
    </row>
    <row r="199">
      <c r="A199" s="4" t="s">
        <v>256</v>
      </c>
      <c r="B199" s="4" t="s">
        <v>238</v>
      </c>
      <c r="C199" s="4" t="s">
        <v>60</v>
      </c>
      <c r="D199" s="6">
        <v>49.0</v>
      </c>
      <c r="E199" s="6">
        <v>11.0</v>
      </c>
      <c r="F199" s="6">
        <v>11.0</v>
      </c>
      <c r="G199" s="6">
        <v>49.0</v>
      </c>
      <c r="H199" s="6">
        <v>1.0</v>
      </c>
      <c r="I199" s="6">
        <v>2.0</v>
      </c>
      <c r="J199" s="6">
        <v>29.0</v>
      </c>
      <c r="K199" s="6">
        <v>406.0</v>
      </c>
      <c r="L199" s="4" t="s">
        <v>211</v>
      </c>
      <c r="M199" s="6">
        <v>150.0</v>
      </c>
      <c r="N199" s="6">
        <v>10.0</v>
      </c>
      <c r="O199" s="6">
        <v>50.0</v>
      </c>
      <c r="P199" s="6">
        <v>20.0</v>
      </c>
      <c r="Q199" s="6">
        <v>0.0</v>
      </c>
      <c r="R199" s="6">
        <v>6.0</v>
      </c>
      <c r="S199" s="7"/>
      <c r="T199" s="6">
        <v>6.0</v>
      </c>
      <c r="U199" s="6">
        <v>1593.0</v>
      </c>
      <c r="V199" s="7"/>
      <c r="W199" s="7"/>
      <c r="X199" s="8">
        <f t="shared" si="1"/>
        <v>0.5</v>
      </c>
      <c r="Y199" s="9">
        <f t="shared" si="2"/>
        <v>30</v>
      </c>
      <c r="Z199" s="8">
        <f t="shared" si="3"/>
        <v>0.9090909091</v>
      </c>
      <c r="AA199" s="8">
        <f t="shared" si="4"/>
        <v>1.818181818</v>
      </c>
      <c r="AB199" s="8">
        <f t="shared" si="5"/>
        <v>0.5454545455</v>
      </c>
      <c r="AC199" s="8">
        <f t="shared" si="6"/>
        <v>5</v>
      </c>
      <c r="AD199" s="8">
        <f t="shared" si="7"/>
        <v>10</v>
      </c>
      <c r="AE199" s="8">
        <f t="shared" si="8"/>
        <v>3</v>
      </c>
      <c r="AF199" s="8">
        <f t="shared" si="9"/>
        <v>10</v>
      </c>
      <c r="AG199" s="8">
        <f t="shared" si="10"/>
        <v>20</v>
      </c>
      <c r="AH199" s="8">
        <f t="shared" si="11"/>
        <v>6</v>
      </c>
      <c r="AI199" s="10">
        <f t="shared" si="12"/>
        <v>0.3448275862</v>
      </c>
      <c r="AJ199" s="11">
        <f t="shared" si="13"/>
        <v>0.6896551724</v>
      </c>
      <c r="AK199" s="12">
        <f t="shared" si="14"/>
        <v>0.2068965517</v>
      </c>
    </row>
    <row r="200">
      <c r="A200" s="4" t="s">
        <v>257</v>
      </c>
      <c r="B200" s="4" t="s">
        <v>238</v>
      </c>
      <c r="C200" s="4" t="s">
        <v>60</v>
      </c>
      <c r="D200" s="6">
        <v>61.0</v>
      </c>
      <c r="E200" s="6">
        <v>13.0</v>
      </c>
      <c r="F200" s="6">
        <v>13.0</v>
      </c>
      <c r="G200" s="6">
        <v>61.0</v>
      </c>
      <c r="H200" s="6">
        <v>1.0</v>
      </c>
      <c r="I200" s="6">
        <v>2.0</v>
      </c>
      <c r="J200" s="6">
        <v>38.0</v>
      </c>
      <c r="K200" s="6">
        <v>406.0</v>
      </c>
      <c r="L200" s="4" t="s">
        <v>211</v>
      </c>
      <c r="M200" s="6">
        <v>200.0</v>
      </c>
      <c r="N200" s="6">
        <v>10.0</v>
      </c>
      <c r="O200" s="6">
        <v>50.0</v>
      </c>
      <c r="P200" s="6">
        <v>20.0</v>
      </c>
      <c r="Q200" s="6">
        <v>0.0</v>
      </c>
      <c r="R200" s="6">
        <v>6.0</v>
      </c>
      <c r="S200" s="7"/>
      <c r="T200" s="6">
        <v>6.0</v>
      </c>
      <c r="U200" s="6">
        <v>1593.0</v>
      </c>
      <c r="V200" s="7"/>
      <c r="W200" s="7"/>
      <c r="X200" s="8">
        <f t="shared" si="1"/>
        <v>0.5</v>
      </c>
      <c r="Y200" s="9">
        <f t="shared" si="2"/>
        <v>30</v>
      </c>
      <c r="Z200" s="8">
        <f t="shared" si="3"/>
        <v>0.7692307692</v>
      </c>
      <c r="AA200" s="8">
        <f t="shared" si="4"/>
        <v>1.538461538</v>
      </c>
      <c r="AB200" s="8">
        <f t="shared" si="5"/>
        <v>0.4615384615</v>
      </c>
      <c r="AC200" s="8">
        <f t="shared" si="6"/>
        <v>5</v>
      </c>
      <c r="AD200" s="8">
        <f t="shared" si="7"/>
        <v>10</v>
      </c>
      <c r="AE200" s="8">
        <f t="shared" si="8"/>
        <v>3</v>
      </c>
      <c r="AF200" s="8">
        <f t="shared" si="9"/>
        <v>10</v>
      </c>
      <c r="AG200" s="8">
        <f t="shared" si="10"/>
        <v>20</v>
      </c>
      <c r="AH200" s="8">
        <f t="shared" si="11"/>
        <v>6</v>
      </c>
      <c r="AI200" s="10">
        <f t="shared" si="12"/>
        <v>0.2631578947</v>
      </c>
      <c r="AJ200" s="11">
        <f t="shared" si="13"/>
        <v>0.5263157895</v>
      </c>
      <c r="AK200" s="12">
        <f t="shared" si="14"/>
        <v>0.1578947368</v>
      </c>
    </row>
    <row r="201">
      <c r="A201" s="4" t="s">
        <v>258</v>
      </c>
      <c r="B201" s="4" t="s">
        <v>238</v>
      </c>
      <c r="C201" s="4" t="s">
        <v>60</v>
      </c>
      <c r="D201" s="6">
        <v>70.0</v>
      </c>
      <c r="E201" s="6">
        <v>15.0</v>
      </c>
      <c r="F201" s="6">
        <v>15.0</v>
      </c>
      <c r="G201" s="6">
        <v>70.0</v>
      </c>
      <c r="H201" s="6">
        <v>1.0</v>
      </c>
      <c r="I201" s="6">
        <v>3.0</v>
      </c>
      <c r="J201" s="6">
        <v>42.0</v>
      </c>
      <c r="K201" s="6">
        <v>432.0</v>
      </c>
      <c r="L201" s="4" t="s">
        <v>211</v>
      </c>
      <c r="M201" s="6">
        <v>150.0</v>
      </c>
      <c r="N201" s="6">
        <v>10.0</v>
      </c>
      <c r="O201" s="6">
        <v>50.0</v>
      </c>
      <c r="P201" s="6">
        <v>20.0</v>
      </c>
      <c r="Q201" s="6">
        <v>0.0</v>
      </c>
      <c r="R201" s="6">
        <v>6.0</v>
      </c>
      <c r="S201" s="7"/>
      <c r="T201" s="6">
        <v>6.0</v>
      </c>
      <c r="U201" s="6">
        <v>1912.0</v>
      </c>
      <c r="V201" s="7"/>
      <c r="W201" s="7"/>
      <c r="X201" s="8">
        <f t="shared" si="1"/>
        <v>0.5</v>
      </c>
      <c r="Y201" s="9">
        <f t="shared" si="2"/>
        <v>30</v>
      </c>
      <c r="Z201" s="8">
        <f t="shared" si="3"/>
        <v>0.6666666667</v>
      </c>
      <c r="AA201" s="8">
        <f t="shared" si="4"/>
        <v>1.333333333</v>
      </c>
      <c r="AB201" s="8">
        <f t="shared" si="5"/>
        <v>0.4</v>
      </c>
      <c r="AC201" s="8">
        <f t="shared" si="6"/>
        <v>3.333333333</v>
      </c>
      <c r="AD201" s="8">
        <f t="shared" si="7"/>
        <v>6.666666667</v>
      </c>
      <c r="AE201" s="8">
        <f t="shared" si="8"/>
        <v>2</v>
      </c>
      <c r="AF201" s="8">
        <f t="shared" si="9"/>
        <v>10</v>
      </c>
      <c r="AG201" s="8">
        <f t="shared" si="10"/>
        <v>20</v>
      </c>
      <c r="AH201" s="8">
        <f t="shared" si="11"/>
        <v>6</v>
      </c>
      <c r="AI201" s="10">
        <f t="shared" si="12"/>
        <v>0.2380952381</v>
      </c>
      <c r="AJ201" s="11">
        <f t="shared" si="13"/>
        <v>0.4761904762</v>
      </c>
      <c r="AK201" s="12">
        <f t="shared" si="14"/>
        <v>0.1428571429</v>
      </c>
    </row>
    <row r="202">
      <c r="A202" s="4" t="s">
        <v>259</v>
      </c>
      <c r="B202" s="4" t="s">
        <v>238</v>
      </c>
      <c r="C202" s="4" t="s">
        <v>82</v>
      </c>
      <c r="D202" s="6">
        <v>49.0</v>
      </c>
      <c r="E202" s="6">
        <v>11.0</v>
      </c>
      <c r="F202" s="6">
        <v>11.0</v>
      </c>
      <c r="G202" s="6">
        <v>49.0</v>
      </c>
      <c r="H202" s="6">
        <v>0.0</v>
      </c>
      <c r="I202" s="6">
        <v>2.0</v>
      </c>
      <c r="J202" s="6">
        <v>30.0</v>
      </c>
      <c r="K202" s="6">
        <v>303.0</v>
      </c>
      <c r="L202" s="4" t="s">
        <v>211</v>
      </c>
      <c r="M202" s="6">
        <v>143.0</v>
      </c>
      <c r="N202" s="6">
        <v>20.0</v>
      </c>
      <c r="O202" s="6">
        <v>180.0</v>
      </c>
      <c r="P202" s="6">
        <v>26.0</v>
      </c>
      <c r="Q202" s="6">
        <v>0.0</v>
      </c>
      <c r="R202" s="6">
        <v>7.0</v>
      </c>
      <c r="S202" s="7"/>
      <c r="T202" s="6">
        <v>8.0</v>
      </c>
      <c r="U202" s="6">
        <v>1739.0</v>
      </c>
      <c r="V202" s="7"/>
      <c r="W202" s="7"/>
      <c r="X202" s="8">
        <f t="shared" si="1"/>
        <v>0.7692307692</v>
      </c>
      <c r="Y202" s="9">
        <f t="shared" si="2"/>
        <v>46</v>
      </c>
      <c r="Z202" s="8">
        <f t="shared" si="3"/>
        <v>1.818181818</v>
      </c>
      <c r="AA202" s="8">
        <f t="shared" si="4"/>
        <v>2.363636364</v>
      </c>
      <c r="AB202" s="8">
        <f t="shared" si="5"/>
        <v>0.7272727273</v>
      </c>
      <c r="AC202" s="8">
        <f t="shared" si="6"/>
        <v>10</v>
      </c>
      <c r="AD202" s="8">
        <f t="shared" si="7"/>
        <v>13</v>
      </c>
      <c r="AE202" s="8">
        <f t="shared" si="8"/>
        <v>4</v>
      </c>
      <c r="AF202" s="8" t="str">
        <f t="shared" si="9"/>
        <v>#DIV/0!</v>
      </c>
      <c r="AG202" s="8" t="str">
        <f t="shared" si="10"/>
        <v>#DIV/0!</v>
      </c>
      <c r="AH202" s="8" t="str">
        <f t="shared" si="11"/>
        <v>#DIV/0!</v>
      </c>
      <c r="AI202" s="10">
        <f t="shared" si="12"/>
        <v>0.6666666667</v>
      </c>
      <c r="AJ202" s="11">
        <f t="shared" si="13"/>
        <v>0.8666666667</v>
      </c>
      <c r="AK202" s="12">
        <f t="shared" si="14"/>
        <v>0.2666666667</v>
      </c>
    </row>
    <row r="203">
      <c r="A203" s="4" t="s">
        <v>260</v>
      </c>
      <c r="B203" s="4" t="s">
        <v>238</v>
      </c>
      <c r="C203" s="4" t="s">
        <v>64</v>
      </c>
      <c r="D203" s="6">
        <v>44.0</v>
      </c>
      <c r="E203" s="6">
        <v>10.0</v>
      </c>
      <c r="F203" s="6">
        <v>10.0</v>
      </c>
      <c r="G203" s="6">
        <v>44.0</v>
      </c>
      <c r="H203" s="6">
        <v>1.0</v>
      </c>
      <c r="I203" s="6">
        <v>1.0</v>
      </c>
      <c r="J203" s="6">
        <v>26.0</v>
      </c>
      <c r="K203" s="6">
        <v>293.0</v>
      </c>
      <c r="L203" s="4" t="s">
        <v>211</v>
      </c>
      <c r="M203" s="6">
        <v>135.0</v>
      </c>
      <c r="N203" s="6">
        <v>15.0</v>
      </c>
      <c r="O203" s="6">
        <v>60.0</v>
      </c>
      <c r="P203" s="6">
        <v>20.0</v>
      </c>
      <c r="Q203" s="6">
        <v>0.0</v>
      </c>
      <c r="R203" s="6">
        <v>6.0</v>
      </c>
      <c r="S203" s="7"/>
      <c r="T203" s="6">
        <v>6.0</v>
      </c>
      <c r="U203" s="6">
        <v>1875.0</v>
      </c>
      <c r="V203" s="7"/>
      <c r="W203" s="7"/>
      <c r="X203" s="8">
        <f t="shared" si="1"/>
        <v>0.75</v>
      </c>
      <c r="Y203" s="9">
        <f t="shared" si="2"/>
        <v>35</v>
      </c>
      <c r="Z203" s="8">
        <f t="shared" si="3"/>
        <v>1.5</v>
      </c>
      <c r="AA203" s="8">
        <f t="shared" si="4"/>
        <v>2</v>
      </c>
      <c r="AB203" s="8">
        <f t="shared" si="5"/>
        <v>0.6</v>
      </c>
      <c r="AC203" s="8">
        <f t="shared" si="6"/>
        <v>15</v>
      </c>
      <c r="AD203" s="8">
        <f t="shared" si="7"/>
        <v>20</v>
      </c>
      <c r="AE203" s="8">
        <f t="shared" si="8"/>
        <v>6</v>
      </c>
      <c r="AF203" s="8">
        <f t="shared" si="9"/>
        <v>15</v>
      </c>
      <c r="AG203" s="8">
        <f t="shared" si="10"/>
        <v>20</v>
      </c>
      <c r="AH203" s="8">
        <f t="shared" si="11"/>
        <v>6</v>
      </c>
      <c r="AI203" s="10">
        <f t="shared" si="12"/>
        <v>0.5769230769</v>
      </c>
      <c r="AJ203" s="11">
        <f t="shared" si="13"/>
        <v>0.7692307692</v>
      </c>
      <c r="AK203" s="12">
        <f t="shared" si="14"/>
        <v>0.2307692308</v>
      </c>
    </row>
    <row r="204">
      <c r="A204" s="4" t="s">
        <v>261</v>
      </c>
      <c r="B204" s="4" t="s">
        <v>238</v>
      </c>
      <c r="C204" s="4" t="s">
        <v>92</v>
      </c>
      <c r="D204" s="6">
        <v>60.0</v>
      </c>
      <c r="E204" s="6">
        <v>13.0</v>
      </c>
      <c r="F204" s="6">
        <v>13.0</v>
      </c>
      <c r="G204" s="6">
        <v>60.0</v>
      </c>
      <c r="H204" s="6">
        <v>2.0</v>
      </c>
      <c r="I204" s="6">
        <v>2.0</v>
      </c>
      <c r="J204" s="6">
        <v>38.0</v>
      </c>
      <c r="K204" s="6">
        <v>398.0</v>
      </c>
      <c r="L204" s="4" t="s">
        <v>211</v>
      </c>
      <c r="M204" s="6">
        <v>150.0</v>
      </c>
      <c r="N204" s="6">
        <v>20.0</v>
      </c>
      <c r="O204" s="6">
        <v>80.0</v>
      </c>
      <c r="P204" s="6">
        <v>14.0</v>
      </c>
      <c r="Q204" s="6">
        <v>0.0</v>
      </c>
      <c r="R204" s="6">
        <v>6.0</v>
      </c>
      <c r="S204" s="7"/>
      <c r="T204" s="6">
        <v>4.0</v>
      </c>
      <c r="U204" s="6">
        <v>1968.0</v>
      </c>
      <c r="V204" s="7"/>
      <c r="W204" s="7"/>
      <c r="X204" s="8">
        <f t="shared" si="1"/>
        <v>1.428571429</v>
      </c>
      <c r="Y204" s="9">
        <f t="shared" si="2"/>
        <v>34</v>
      </c>
      <c r="Z204" s="8">
        <f t="shared" si="3"/>
        <v>1.538461538</v>
      </c>
      <c r="AA204" s="8">
        <f t="shared" si="4"/>
        <v>1.076923077</v>
      </c>
      <c r="AB204" s="8">
        <f t="shared" si="5"/>
        <v>0.3076923077</v>
      </c>
      <c r="AC204" s="8">
        <f t="shared" si="6"/>
        <v>10</v>
      </c>
      <c r="AD204" s="8">
        <f t="shared" si="7"/>
        <v>7</v>
      </c>
      <c r="AE204" s="8">
        <f t="shared" si="8"/>
        <v>2</v>
      </c>
      <c r="AF204" s="8">
        <f t="shared" si="9"/>
        <v>10</v>
      </c>
      <c r="AG204" s="8">
        <f t="shared" si="10"/>
        <v>7</v>
      </c>
      <c r="AH204" s="8">
        <f t="shared" si="11"/>
        <v>2</v>
      </c>
      <c r="AI204" s="10">
        <f t="shared" si="12"/>
        <v>0.5263157895</v>
      </c>
      <c r="AJ204" s="11">
        <f t="shared" si="13"/>
        <v>0.3684210526</v>
      </c>
      <c r="AK204" s="12">
        <f t="shared" si="14"/>
        <v>0.1052631579</v>
      </c>
    </row>
    <row r="205">
      <c r="A205" s="4" t="s">
        <v>262</v>
      </c>
      <c r="B205" s="4" t="s">
        <v>238</v>
      </c>
      <c r="C205" s="4" t="s">
        <v>92</v>
      </c>
      <c r="D205" s="6">
        <v>80.0</v>
      </c>
      <c r="E205" s="6">
        <v>19.0</v>
      </c>
      <c r="F205" s="6">
        <v>19.0</v>
      </c>
      <c r="G205" s="6">
        <v>80.0</v>
      </c>
      <c r="H205" s="6">
        <v>2.0</v>
      </c>
      <c r="I205" s="6">
        <v>3.0</v>
      </c>
      <c r="J205" s="6">
        <v>50.0</v>
      </c>
      <c r="K205" s="6">
        <v>398.0</v>
      </c>
      <c r="L205" s="4" t="s">
        <v>211</v>
      </c>
      <c r="M205" s="6">
        <v>200.0</v>
      </c>
      <c r="N205" s="6">
        <v>20.0</v>
      </c>
      <c r="O205" s="6">
        <v>80.0</v>
      </c>
      <c r="P205" s="6">
        <v>14.0</v>
      </c>
      <c r="Q205" s="6">
        <v>0.0</v>
      </c>
      <c r="R205" s="6">
        <v>6.0</v>
      </c>
      <c r="S205" s="7"/>
      <c r="T205" s="6">
        <v>4.0</v>
      </c>
      <c r="U205" s="6">
        <v>1968.0</v>
      </c>
      <c r="V205" s="7"/>
      <c r="W205" s="7"/>
      <c r="X205" s="8">
        <f t="shared" si="1"/>
        <v>1.428571429</v>
      </c>
      <c r="Y205" s="9">
        <f t="shared" si="2"/>
        <v>34</v>
      </c>
      <c r="Z205" s="8">
        <f t="shared" si="3"/>
        <v>1.052631579</v>
      </c>
      <c r="AA205" s="8">
        <f t="shared" si="4"/>
        <v>0.7368421053</v>
      </c>
      <c r="AB205" s="8">
        <f t="shared" si="5"/>
        <v>0.2105263158</v>
      </c>
      <c r="AC205" s="8">
        <f t="shared" si="6"/>
        <v>6.666666667</v>
      </c>
      <c r="AD205" s="8">
        <f t="shared" si="7"/>
        <v>4.666666667</v>
      </c>
      <c r="AE205" s="8">
        <f t="shared" si="8"/>
        <v>1.333333333</v>
      </c>
      <c r="AF205" s="8">
        <f t="shared" si="9"/>
        <v>10</v>
      </c>
      <c r="AG205" s="8">
        <f t="shared" si="10"/>
        <v>7</v>
      </c>
      <c r="AH205" s="8">
        <f t="shared" si="11"/>
        <v>2</v>
      </c>
      <c r="AI205" s="10">
        <f t="shared" si="12"/>
        <v>0.4</v>
      </c>
      <c r="AJ205" s="11">
        <f t="shared" si="13"/>
        <v>0.28</v>
      </c>
      <c r="AK205" s="12">
        <f t="shared" si="14"/>
        <v>0.08</v>
      </c>
    </row>
    <row r="206">
      <c r="A206" s="4" t="s">
        <v>263</v>
      </c>
      <c r="B206" s="4" t="s">
        <v>238</v>
      </c>
      <c r="C206" s="4" t="s">
        <v>92</v>
      </c>
      <c r="D206" s="6">
        <v>85.0</v>
      </c>
      <c r="E206" s="6">
        <v>20.0</v>
      </c>
      <c r="F206" s="6">
        <v>20.0</v>
      </c>
      <c r="G206" s="6">
        <v>85.0</v>
      </c>
      <c r="H206" s="6">
        <v>2.0</v>
      </c>
      <c r="I206" s="6">
        <v>3.0</v>
      </c>
      <c r="J206" s="6">
        <v>52.0</v>
      </c>
      <c r="K206" s="6">
        <v>423.0</v>
      </c>
      <c r="L206" s="4" t="s">
        <v>211</v>
      </c>
      <c r="M206" s="6">
        <v>150.0</v>
      </c>
      <c r="N206" s="6">
        <v>20.0</v>
      </c>
      <c r="O206" s="6">
        <v>80.0</v>
      </c>
      <c r="P206" s="6">
        <v>14.0</v>
      </c>
      <c r="Q206" s="6">
        <v>0.0</v>
      </c>
      <c r="R206" s="6">
        <v>6.0</v>
      </c>
      <c r="S206" s="7"/>
      <c r="T206" s="6">
        <v>4.0</v>
      </c>
      <c r="U206" s="6">
        <v>2362.0</v>
      </c>
      <c r="V206" s="7"/>
      <c r="W206" s="7"/>
      <c r="X206" s="8">
        <f t="shared" si="1"/>
        <v>1.428571429</v>
      </c>
      <c r="Y206" s="9">
        <f t="shared" si="2"/>
        <v>34</v>
      </c>
      <c r="Z206" s="8">
        <f t="shared" si="3"/>
        <v>1</v>
      </c>
      <c r="AA206" s="8">
        <f t="shared" si="4"/>
        <v>0.7</v>
      </c>
      <c r="AB206" s="8">
        <f t="shared" si="5"/>
        <v>0.2</v>
      </c>
      <c r="AC206" s="8">
        <f t="shared" si="6"/>
        <v>6.666666667</v>
      </c>
      <c r="AD206" s="8">
        <f t="shared" si="7"/>
        <v>4.666666667</v>
      </c>
      <c r="AE206" s="8">
        <f t="shared" si="8"/>
        <v>1.333333333</v>
      </c>
      <c r="AF206" s="8">
        <f t="shared" si="9"/>
        <v>10</v>
      </c>
      <c r="AG206" s="8">
        <f t="shared" si="10"/>
        <v>7</v>
      </c>
      <c r="AH206" s="8">
        <f t="shared" si="11"/>
        <v>2</v>
      </c>
      <c r="AI206" s="10">
        <f t="shared" si="12"/>
        <v>0.3846153846</v>
      </c>
      <c r="AJ206" s="11">
        <f t="shared" si="13"/>
        <v>0.2692307692</v>
      </c>
      <c r="AK206" s="12">
        <f t="shared" si="14"/>
        <v>0.07692307692</v>
      </c>
    </row>
    <row r="207">
      <c r="A207" s="4" t="s">
        <v>264</v>
      </c>
      <c r="B207" s="4" t="s">
        <v>238</v>
      </c>
      <c r="C207" s="4" t="s">
        <v>92</v>
      </c>
      <c r="D207" s="6">
        <v>63.0</v>
      </c>
      <c r="E207" s="6">
        <v>15.0</v>
      </c>
      <c r="F207" s="6">
        <v>15.0</v>
      </c>
      <c r="G207" s="6">
        <v>63.0</v>
      </c>
      <c r="H207" s="6">
        <v>2.0</v>
      </c>
      <c r="I207" s="6">
        <v>2.0</v>
      </c>
      <c r="J207" s="6">
        <v>39.0</v>
      </c>
      <c r="K207" s="6">
        <v>327.0</v>
      </c>
      <c r="L207" s="4" t="s">
        <v>211</v>
      </c>
      <c r="M207" s="6">
        <v>195.0</v>
      </c>
      <c r="N207" s="6">
        <v>25.0</v>
      </c>
      <c r="O207" s="6">
        <v>100.0</v>
      </c>
      <c r="P207" s="6">
        <v>20.0</v>
      </c>
      <c r="Q207" s="6">
        <v>0.0</v>
      </c>
      <c r="R207" s="6">
        <v>4.0</v>
      </c>
      <c r="S207" s="7"/>
      <c r="T207" s="6">
        <v>4.0</v>
      </c>
      <c r="U207" s="6">
        <v>2062.0</v>
      </c>
      <c r="V207" s="7"/>
      <c r="W207" s="7"/>
      <c r="X207" s="8">
        <f t="shared" si="1"/>
        <v>1.25</v>
      </c>
      <c r="Y207" s="9">
        <f t="shared" si="2"/>
        <v>45</v>
      </c>
      <c r="Z207" s="8">
        <f t="shared" si="3"/>
        <v>1.666666667</v>
      </c>
      <c r="AA207" s="8">
        <f t="shared" si="4"/>
        <v>1.333333333</v>
      </c>
      <c r="AB207" s="8">
        <f t="shared" si="5"/>
        <v>0.2666666667</v>
      </c>
      <c r="AC207" s="8">
        <f t="shared" si="6"/>
        <v>12.5</v>
      </c>
      <c r="AD207" s="8">
        <f t="shared" si="7"/>
        <v>10</v>
      </c>
      <c r="AE207" s="8">
        <f t="shared" si="8"/>
        <v>2</v>
      </c>
      <c r="AF207" s="8">
        <f t="shared" si="9"/>
        <v>12.5</v>
      </c>
      <c r="AG207" s="8">
        <f t="shared" si="10"/>
        <v>10</v>
      </c>
      <c r="AH207" s="8">
        <f t="shared" si="11"/>
        <v>2</v>
      </c>
      <c r="AI207" s="10">
        <f t="shared" si="12"/>
        <v>0.641025641</v>
      </c>
      <c r="AJ207" s="11">
        <f t="shared" si="13"/>
        <v>0.5128205128</v>
      </c>
      <c r="AK207" s="12">
        <f t="shared" si="14"/>
        <v>0.1025641026</v>
      </c>
    </row>
    <row r="208">
      <c r="A208" s="4" t="s">
        <v>264</v>
      </c>
      <c r="B208" s="4" t="s">
        <v>238</v>
      </c>
      <c r="C208" s="4" t="s">
        <v>49</v>
      </c>
      <c r="D208" s="6">
        <v>114.0</v>
      </c>
      <c r="E208" s="6">
        <v>26.0</v>
      </c>
      <c r="F208" s="6">
        <v>26.0</v>
      </c>
      <c r="G208" s="6">
        <v>114.0</v>
      </c>
      <c r="H208" s="6">
        <v>1.0</v>
      </c>
      <c r="I208" s="6">
        <v>5.0</v>
      </c>
      <c r="J208" s="6">
        <v>71.0</v>
      </c>
      <c r="K208" s="6">
        <v>316.0</v>
      </c>
      <c r="L208" s="4" t="s">
        <v>211</v>
      </c>
      <c r="M208" s="6">
        <v>195.0</v>
      </c>
      <c r="N208" s="6">
        <v>40.0</v>
      </c>
      <c r="O208" s="6">
        <v>150.0</v>
      </c>
      <c r="P208" s="6">
        <v>20.0</v>
      </c>
      <c r="Q208" s="6">
        <v>0.0</v>
      </c>
      <c r="R208" s="6">
        <v>4.0</v>
      </c>
      <c r="S208" s="7"/>
      <c r="T208" s="6">
        <v>4.0</v>
      </c>
      <c r="U208" s="6">
        <v>2437.0</v>
      </c>
      <c r="V208" s="7"/>
      <c r="W208" s="7"/>
      <c r="X208" s="8">
        <f t="shared" si="1"/>
        <v>2</v>
      </c>
      <c r="Y208" s="9">
        <f t="shared" si="2"/>
        <v>60</v>
      </c>
      <c r="Z208" s="8">
        <f t="shared" si="3"/>
        <v>1.538461538</v>
      </c>
      <c r="AA208" s="8">
        <f t="shared" si="4"/>
        <v>0.7692307692</v>
      </c>
      <c r="AB208" s="8">
        <f t="shared" si="5"/>
        <v>0.1538461538</v>
      </c>
      <c r="AC208" s="8">
        <f t="shared" si="6"/>
        <v>8</v>
      </c>
      <c r="AD208" s="8">
        <f t="shared" si="7"/>
        <v>4</v>
      </c>
      <c r="AE208" s="8">
        <f t="shared" si="8"/>
        <v>0.8</v>
      </c>
      <c r="AF208" s="8">
        <f t="shared" si="9"/>
        <v>40</v>
      </c>
      <c r="AG208" s="8">
        <f t="shared" si="10"/>
        <v>20</v>
      </c>
      <c r="AH208" s="8">
        <f t="shared" si="11"/>
        <v>4</v>
      </c>
      <c r="AI208" s="10">
        <f t="shared" si="12"/>
        <v>0.5633802817</v>
      </c>
      <c r="AJ208" s="11">
        <f t="shared" si="13"/>
        <v>0.2816901408</v>
      </c>
      <c r="AK208" s="12">
        <f t="shared" si="14"/>
        <v>0.05633802817</v>
      </c>
    </row>
    <row r="209">
      <c r="A209" s="4" t="s">
        <v>265</v>
      </c>
      <c r="B209" s="4" t="s">
        <v>238</v>
      </c>
      <c r="C209" s="4" t="s">
        <v>92</v>
      </c>
      <c r="D209" s="6">
        <v>73.0</v>
      </c>
      <c r="E209" s="6">
        <v>16.0</v>
      </c>
      <c r="F209" s="6">
        <v>16.0</v>
      </c>
      <c r="G209" s="6">
        <v>73.0</v>
      </c>
      <c r="H209" s="6">
        <v>2.0</v>
      </c>
      <c r="I209" s="6">
        <v>3.0</v>
      </c>
      <c r="J209" s="6">
        <v>45.0</v>
      </c>
      <c r="K209" s="6">
        <v>334.0</v>
      </c>
      <c r="L209" s="4" t="s">
        <v>211</v>
      </c>
      <c r="M209" s="6">
        <v>225.0</v>
      </c>
      <c r="N209" s="6">
        <v>20.0</v>
      </c>
      <c r="O209" s="6">
        <v>120.0</v>
      </c>
      <c r="P209" s="6">
        <v>14.0</v>
      </c>
      <c r="Q209" s="6">
        <v>0.0</v>
      </c>
      <c r="R209" s="6">
        <v>6.0</v>
      </c>
      <c r="S209" s="7"/>
      <c r="T209" s="6">
        <v>7.0</v>
      </c>
      <c r="U209" s="6">
        <v>2250.0</v>
      </c>
      <c r="V209" s="7"/>
      <c r="W209" s="7"/>
      <c r="X209" s="8">
        <f t="shared" si="1"/>
        <v>1.428571429</v>
      </c>
      <c r="Y209" s="9">
        <f t="shared" si="2"/>
        <v>34</v>
      </c>
      <c r="Z209" s="8">
        <f t="shared" si="3"/>
        <v>1.25</v>
      </c>
      <c r="AA209" s="8">
        <f t="shared" si="4"/>
        <v>0.875</v>
      </c>
      <c r="AB209" s="8">
        <f t="shared" si="5"/>
        <v>0.4375</v>
      </c>
      <c r="AC209" s="8">
        <f t="shared" si="6"/>
        <v>6.666666667</v>
      </c>
      <c r="AD209" s="8">
        <f t="shared" si="7"/>
        <v>4.666666667</v>
      </c>
      <c r="AE209" s="8">
        <f t="shared" si="8"/>
        <v>2.333333333</v>
      </c>
      <c r="AF209" s="8">
        <f t="shared" si="9"/>
        <v>10</v>
      </c>
      <c r="AG209" s="8">
        <f t="shared" si="10"/>
        <v>7</v>
      </c>
      <c r="AH209" s="8">
        <f t="shared" si="11"/>
        <v>3.5</v>
      </c>
      <c r="AI209" s="10">
        <f t="shared" si="12"/>
        <v>0.4444444444</v>
      </c>
      <c r="AJ209" s="11">
        <f t="shared" si="13"/>
        <v>0.3111111111</v>
      </c>
      <c r="AK209" s="12">
        <f t="shared" si="14"/>
        <v>0.1555555556</v>
      </c>
    </row>
    <row r="210">
      <c r="A210" s="4" t="s">
        <v>265</v>
      </c>
      <c r="B210" s="4" t="s">
        <v>238</v>
      </c>
      <c r="C210" s="4" t="s">
        <v>56</v>
      </c>
      <c r="D210" s="6">
        <v>62.0</v>
      </c>
      <c r="E210" s="6">
        <v>14.0</v>
      </c>
      <c r="F210" s="6">
        <v>14.0</v>
      </c>
      <c r="G210" s="6">
        <v>62.0</v>
      </c>
      <c r="H210" s="6">
        <v>1.0</v>
      </c>
      <c r="I210" s="6">
        <v>2.0</v>
      </c>
      <c r="J210" s="6">
        <v>39.0</v>
      </c>
      <c r="K210" s="6">
        <v>427.0</v>
      </c>
      <c r="L210" s="4" t="s">
        <v>211</v>
      </c>
      <c r="M210" s="6">
        <v>195.0</v>
      </c>
      <c r="N210" s="6">
        <v>15.0</v>
      </c>
      <c r="O210" s="6">
        <v>60.0</v>
      </c>
      <c r="P210" s="6">
        <v>14.0</v>
      </c>
      <c r="Q210" s="6">
        <v>0.0</v>
      </c>
      <c r="R210" s="6">
        <v>6.0</v>
      </c>
      <c r="S210" s="7"/>
      <c r="T210" s="6">
        <v>7.0</v>
      </c>
      <c r="U210" s="6">
        <v>2250.0</v>
      </c>
      <c r="V210" s="7"/>
      <c r="W210" s="7"/>
      <c r="X210" s="8">
        <f t="shared" si="1"/>
        <v>1.071428571</v>
      </c>
      <c r="Y210" s="9">
        <f t="shared" si="2"/>
        <v>29</v>
      </c>
      <c r="Z210" s="8">
        <f t="shared" si="3"/>
        <v>1.071428571</v>
      </c>
      <c r="AA210" s="8">
        <f t="shared" si="4"/>
        <v>1</v>
      </c>
      <c r="AB210" s="8">
        <f t="shared" si="5"/>
        <v>0.5</v>
      </c>
      <c r="AC210" s="8">
        <f t="shared" si="6"/>
        <v>7.5</v>
      </c>
      <c r="AD210" s="8">
        <f t="shared" si="7"/>
        <v>7</v>
      </c>
      <c r="AE210" s="8">
        <f t="shared" si="8"/>
        <v>3.5</v>
      </c>
      <c r="AF210" s="8">
        <f t="shared" si="9"/>
        <v>15</v>
      </c>
      <c r="AG210" s="8">
        <f t="shared" si="10"/>
        <v>14</v>
      </c>
      <c r="AH210" s="8">
        <f t="shared" si="11"/>
        <v>7</v>
      </c>
      <c r="AI210" s="10">
        <f t="shared" si="12"/>
        <v>0.3846153846</v>
      </c>
      <c r="AJ210" s="11">
        <f t="shared" si="13"/>
        <v>0.358974359</v>
      </c>
      <c r="AK210" s="12">
        <f t="shared" si="14"/>
        <v>0.1794871795</v>
      </c>
    </row>
    <row r="211">
      <c r="A211" s="4" t="s">
        <v>266</v>
      </c>
      <c r="B211" s="4" t="s">
        <v>238</v>
      </c>
      <c r="C211" s="4" t="s">
        <v>56</v>
      </c>
      <c r="D211" s="6">
        <v>78.0</v>
      </c>
      <c r="E211" s="6">
        <v>18.0</v>
      </c>
      <c r="F211" s="6">
        <v>18.0</v>
      </c>
      <c r="G211" s="6">
        <v>78.0</v>
      </c>
      <c r="H211" s="6">
        <v>1.0</v>
      </c>
      <c r="I211" s="6">
        <v>3.0</v>
      </c>
      <c r="J211" s="6">
        <v>51.0</v>
      </c>
      <c r="K211" s="6">
        <v>427.0</v>
      </c>
      <c r="L211" s="4" t="s">
        <v>211</v>
      </c>
      <c r="M211" s="6">
        <v>259.0</v>
      </c>
      <c r="N211" s="6">
        <v>15.0</v>
      </c>
      <c r="O211" s="6">
        <v>60.0</v>
      </c>
      <c r="P211" s="6">
        <v>14.0</v>
      </c>
      <c r="Q211" s="6">
        <v>0.0</v>
      </c>
      <c r="R211" s="6">
        <v>6.0</v>
      </c>
      <c r="S211" s="7"/>
      <c r="T211" s="6">
        <v>7.0</v>
      </c>
      <c r="U211" s="6">
        <v>2250.0</v>
      </c>
      <c r="V211" s="7"/>
      <c r="W211" s="7"/>
      <c r="X211" s="8">
        <f t="shared" si="1"/>
        <v>1.071428571</v>
      </c>
      <c r="Y211" s="9">
        <f t="shared" si="2"/>
        <v>29</v>
      </c>
      <c r="Z211" s="8">
        <f t="shared" si="3"/>
        <v>0.8333333333</v>
      </c>
      <c r="AA211" s="8">
        <f t="shared" si="4"/>
        <v>0.7777777778</v>
      </c>
      <c r="AB211" s="8">
        <f t="shared" si="5"/>
        <v>0.3888888889</v>
      </c>
      <c r="AC211" s="8">
        <f t="shared" si="6"/>
        <v>5</v>
      </c>
      <c r="AD211" s="8">
        <f t="shared" si="7"/>
        <v>4.666666667</v>
      </c>
      <c r="AE211" s="8">
        <f t="shared" si="8"/>
        <v>2.333333333</v>
      </c>
      <c r="AF211" s="8">
        <f t="shared" si="9"/>
        <v>15</v>
      </c>
      <c r="AG211" s="8">
        <f t="shared" si="10"/>
        <v>14</v>
      </c>
      <c r="AH211" s="8">
        <f t="shared" si="11"/>
        <v>7</v>
      </c>
      <c r="AI211" s="10">
        <f t="shared" si="12"/>
        <v>0.2941176471</v>
      </c>
      <c r="AJ211" s="11">
        <f t="shared" si="13"/>
        <v>0.2745098039</v>
      </c>
      <c r="AK211" s="12">
        <f t="shared" si="14"/>
        <v>0.137254902</v>
      </c>
    </row>
    <row r="212">
      <c r="A212" s="4" t="s">
        <v>267</v>
      </c>
      <c r="B212" s="4" t="s">
        <v>238</v>
      </c>
      <c r="C212" s="4" t="s">
        <v>56</v>
      </c>
      <c r="D212" s="6">
        <v>87.0</v>
      </c>
      <c r="E212" s="6">
        <v>19.0</v>
      </c>
      <c r="F212" s="6">
        <v>19.0</v>
      </c>
      <c r="G212" s="6">
        <v>87.0</v>
      </c>
      <c r="H212" s="6">
        <v>1.0</v>
      </c>
      <c r="I212" s="6">
        <v>3.0</v>
      </c>
      <c r="J212" s="6">
        <v>55.0</v>
      </c>
      <c r="K212" s="6">
        <v>452.0</v>
      </c>
      <c r="L212" s="4" t="s">
        <v>211</v>
      </c>
      <c r="M212" s="6">
        <v>195.0</v>
      </c>
      <c r="N212" s="6">
        <v>15.0</v>
      </c>
      <c r="O212" s="6">
        <v>60.0</v>
      </c>
      <c r="P212" s="6">
        <v>14.0</v>
      </c>
      <c r="Q212" s="6">
        <v>0.0</v>
      </c>
      <c r="R212" s="6">
        <v>6.0</v>
      </c>
      <c r="S212" s="7"/>
      <c r="T212" s="6">
        <v>7.0</v>
      </c>
      <c r="U212" s="6">
        <v>2699.0</v>
      </c>
      <c r="V212" s="7"/>
      <c r="W212" s="7"/>
      <c r="X212" s="8">
        <f t="shared" si="1"/>
        <v>1.071428571</v>
      </c>
      <c r="Y212" s="9">
        <f t="shared" si="2"/>
        <v>29</v>
      </c>
      <c r="Z212" s="8">
        <f t="shared" si="3"/>
        <v>0.7894736842</v>
      </c>
      <c r="AA212" s="8">
        <f t="shared" si="4"/>
        <v>0.7368421053</v>
      </c>
      <c r="AB212" s="8">
        <f t="shared" si="5"/>
        <v>0.3684210526</v>
      </c>
      <c r="AC212" s="8">
        <f t="shared" si="6"/>
        <v>5</v>
      </c>
      <c r="AD212" s="8">
        <f t="shared" si="7"/>
        <v>4.666666667</v>
      </c>
      <c r="AE212" s="8">
        <f t="shared" si="8"/>
        <v>2.333333333</v>
      </c>
      <c r="AF212" s="8">
        <f t="shared" si="9"/>
        <v>15</v>
      </c>
      <c r="AG212" s="8">
        <f t="shared" si="10"/>
        <v>14</v>
      </c>
      <c r="AH212" s="8">
        <f t="shared" si="11"/>
        <v>7</v>
      </c>
      <c r="AI212" s="10">
        <f t="shared" si="12"/>
        <v>0.2727272727</v>
      </c>
      <c r="AJ212" s="11">
        <f t="shared" si="13"/>
        <v>0.2545454545</v>
      </c>
      <c r="AK212" s="12">
        <f t="shared" si="14"/>
        <v>0.1272727273</v>
      </c>
    </row>
    <row r="213">
      <c r="A213" s="4" t="s">
        <v>268</v>
      </c>
      <c r="B213" s="4" t="s">
        <v>238</v>
      </c>
      <c r="C213" s="4" t="s">
        <v>49</v>
      </c>
      <c r="D213" s="6">
        <v>95.0</v>
      </c>
      <c r="E213" s="6">
        <v>22.0</v>
      </c>
      <c r="F213" s="6">
        <v>22.0</v>
      </c>
      <c r="G213" s="6">
        <v>95.0</v>
      </c>
      <c r="H213" s="6">
        <v>1.0</v>
      </c>
      <c r="I213" s="6">
        <v>4.0</v>
      </c>
      <c r="J213" s="6">
        <v>59.0</v>
      </c>
      <c r="K213" s="6">
        <v>327.0</v>
      </c>
      <c r="L213" s="4" t="s">
        <v>211</v>
      </c>
      <c r="M213" s="6">
        <v>195.0</v>
      </c>
      <c r="N213" s="6">
        <v>30.0</v>
      </c>
      <c r="O213" s="6">
        <v>120.0</v>
      </c>
      <c r="P213" s="6">
        <v>39.0</v>
      </c>
      <c r="Q213" s="6">
        <v>1.0</v>
      </c>
      <c r="R213" s="6">
        <v>6.0</v>
      </c>
      <c r="S213" s="7"/>
      <c r="T213" s="6">
        <v>7.0</v>
      </c>
      <c r="U213" s="6">
        <v>2062.0</v>
      </c>
      <c r="V213" s="7"/>
      <c r="W213" s="7"/>
      <c r="X213" s="8">
        <f t="shared" si="1"/>
        <v>0.7692307692</v>
      </c>
      <c r="Y213" s="9">
        <f t="shared" si="2"/>
        <v>69</v>
      </c>
      <c r="Z213" s="8">
        <f t="shared" si="3"/>
        <v>1.363636364</v>
      </c>
      <c r="AA213" s="8">
        <f t="shared" si="4"/>
        <v>1.772727273</v>
      </c>
      <c r="AB213" s="8">
        <f t="shared" si="5"/>
        <v>0.3181818182</v>
      </c>
      <c r="AC213" s="8">
        <f t="shared" si="6"/>
        <v>7.5</v>
      </c>
      <c r="AD213" s="8">
        <f t="shared" si="7"/>
        <v>9.75</v>
      </c>
      <c r="AE213" s="8">
        <f t="shared" si="8"/>
        <v>1.75</v>
      </c>
      <c r="AF213" s="8">
        <f t="shared" si="9"/>
        <v>30</v>
      </c>
      <c r="AG213" s="8">
        <f t="shared" si="10"/>
        <v>39</v>
      </c>
      <c r="AH213" s="8">
        <f t="shared" si="11"/>
        <v>7</v>
      </c>
      <c r="AI213" s="10">
        <f t="shared" si="12"/>
        <v>0.5084745763</v>
      </c>
      <c r="AJ213" s="11">
        <f t="shared" si="13"/>
        <v>0.6610169492</v>
      </c>
      <c r="AK213" s="12">
        <f t="shared" si="14"/>
        <v>0.1186440678</v>
      </c>
    </row>
    <row r="214">
      <c r="A214" s="4" t="s">
        <v>269</v>
      </c>
      <c r="B214" s="4" t="s">
        <v>238</v>
      </c>
      <c r="C214" s="4" t="s">
        <v>73</v>
      </c>
      <c r="D214" s="6">
        <v>48.0</v>
      </c>
      <c r="E214" s="6">
        <v>11.0</v>
      </c>
      <c r="F214" s="6">
        <v>11.0</v>
      </c>
      <c r="G214" s="6">
        <v>48.0</v>
      </c>
      <c r="H214" s="6">
        <v>1.0</v>
      </c>
      <c r="I214" s="6">
        <v>2.0</v>
      </c>
      <c r="J214" s="6">
        <v>22.0</v>
      </c>
      <c r="K214" s="6">
        <v>374.0</v>
      </c>
      <c r="L214" s="4" t="s">
        <v>211</v>
      </c>
      <c r="M214" s="6">
        <v>150.0</v>
      </c>
      <c r="N214" s="6">
        <v>20.0</v>
      </c>
      <c r="O214" s="6">
        <v>80.0</v>
      </c>
      <c r="P214" s="6">
        <v>20.0</v>
      </c>
      <c r="Q214" s="6">
        <v>0.0</v>
      </c>
      <c r="R214" s="6">
        <v>6.0</v>
      </c>
      <c r="S214" s="7"/>
      <c r="T214" s="6">
        <v>4.0</v>
      </c>
      <c r="U214" s="6">
        <v>1968.0</v>
      </c>
      <c r="V214" s="7"/>
      <c r="W214" s="7"/>
      <c r="X214" s="8">
        <f t="shared" si="1"/>
        <v>1</v>
      </c>
      <c r="Y214" s="9">
        <f t="shared" si="2"/>
        <v>40</v>
      </c>
      <c r="Z214" s="8">
        <f t="shared" si="3"/>
        <v>1.818181818</v>
      </c>
      <c r="AA214" s="8">
        <f t="shared" si="4"/>
        <v>1.818181818</v>
      </c>
      <c r="AB214" s="8">
        <f t="shared" si="5"/>
        <v>0.3636363636</v>
      </c>
      <c r="AC214" s="8">
        <f t="shared" si="6"/>
        <v>10</v>
      </c>
      <c r="AD214" s="8">
        <f t="shared" si="7"/>
        <v>10</v>
      </c>
      <c r="AE214" s="8">
        <f t="shared" si="8"/>
        <v>2</v>
      </c>
      <c r="AF214" s="8">
        <f t="shared" si="9"/>
        <v>20</v>
      </c>
      <c r="AG214" s="8">
        <f t="shared" si="10"/>
        <v>20</v>
      </c>
      <c r="AH214" s="8">
        <f t="shared" si="11"/>
        <v>4</v>
      </c>
      <c r="AI214" s="10">
        <f t="shared" si="12"/>
        <v>0.9090909091</v>
      </c>
      <c r="AJ214" s="11">
        <f t="shared" si="13"/>
        <v>0.9090909091</v>
      </c>
      <c r="AK214" s="12">
        <f t="shared" si="14"/>
        <v>0.1818181818</v>
      </c>
    </row>
    <row r="215">
      <c r="A215" s="4" t="s">
        <v>270</v>
      </c>
      <c r="B215" s="4" t="s">
        <v>238</v>
      </c>
      <c r="C215" s="4" t="s">
        <v>60</v>
      </c>
      <c r="D215" s="6">
        <v>54.0</v>
      </c>
      <c r="E215" s="6">
        <v>12.0</v>
      </c>
      <c r="F215" s="6">
        <v>12.0</v>
      </c>
      <c r="G215" s="6">
        <v>54.0</v>
      </c>
      <c r="H215" s="6">
        <v>1.0</v>
      </c>
      <c r="I215" s="6">
        <v>2.0</v>
      </c>
      <c r="J215" s="6">
        <v>32.0</v>
      </c>
      <c r="K215" s="6">
        <v>383.0</v>
      </c>
      <c r="L215" s="4" t="s">
        <v>211</v>
      </c>
      <c r="M215" s="6">
        <v>150.0</v>
      </c>
      <c r="N215" s="6">
        <v>15.0</v>
      </c>
      <c r="O215" s="6">
        <v>60.0</v>
      </c>
      <c r="P215" s="6">
        <v>20.0</v>
      </c>
      <c r="Q215" s="6">
        <v>0.0</v>
      </c>
      <c r="R215" s="6">
        <v>6.0</v>
      </c>
      <c r="S215" s="7"/>
      <c r="T215" s="6">
        <v>6.0</v>
      </c>
      <c r="U215" s="6">
        <v>2156.0</v>
      </c>
      <c r="V215" s="7"/>
      <c r="W215" s="7"/>
      <c r="X215" s="8">
        <f t="shared" si="1"/>
        <v>0.75</v>
      </c>
      <c r="Y215" s="9">
        <f t="shared" si="2"/>
        <v>35</v>
      </c>
      <c r="Z215" s="8">
        <f t="shared" si="3"/>
        <v>1.25</v>
      </c>
      <c r="AA215" s="8">
        <f t="shared" si="4"/>
        <v>1.666666667</v>
      </c>
      <c r="AB215" s="8">
        <f t="shared" si="5"/>
        <v>0.5</v>
      </c>
      <c r="AC215" s="8">
        <f t="shared" si="6"/>
        <v>7.5</v>
      </c>
      <c r="AD215" s="8">
        <f t="shared" si="7"/>
        <v>10</v>
      </c>
      <c r="AE215" s="8">
        <f t="shared" si="8"/>
        <v>3</v>
      </c>
      <c r="AF215" s="8">
        <f t="shared" si="9"/>
        <v>15</v>
      </c>
      <c r="AG215" s="8">
        <f t="shared" si="10"/>
        <v>20</v>
      </c>
      <c r="AH215" s="8">
        <f t="shared" si="11"/>
        <v>6</v>
      </c>
      <c r="AI215" s="10">
        <f t="shared" si="12"/>
        <v>0.46875</v>
      </c>
      <c r="AJ215" s="11">
        <f t="shared" si="13"/>
        <v>0.625</v>
      </c>
      <c r="AK215" s="12">
        <f t="shared" si="14"/>
        <v>0.1875</v>
      </c>
    </row>
    <row r="216">
      <c r="A216" s="4" t="s">
        <v>271</v>
      </c>
      <c r="B216" s="4" t="s">
        <v>238</v>
      </c>
      <c r="C216" s="4" t="s">
        <v>92</v>
      </c>
      <c r="D216" s="6">
        <v>58.0</v>
      </c>
      <c r="E216" s="6">
        <v>13.0</v>
      </c>
      <c r="F216" s="6">
        <v>13.0</v>
      </c>
      <c r="G216" s="6">
        <v>58.0</v>
      </c>
      <c r="H216" s="6">
        <v>2.0</v>
      </c>
      <c r="I216" s="6">
        <v>2.0</v>
      </c>
      <c r="J216" s="6">
        <v>37.0</v>
      </c>
      <c r="K216" s="6">
        <v>387.0</v>
      </c>
      <c r="L216" s="4" t="s">
        <v>211</v>
      </c>
      <c r="M216" s="6">
        <v>150.0</v>
      </c>
      <c r="N216" s="6">
        <v>20.0</v>
      </c>
      <c r="O216" s="6">
        <v>120.0</v>
      </c>
      <c r="P216" s="6">
        <v>20.0</v>
      </c>
      <c r="Q216" s="6">
        <v>0.0</v>
      </c>
      <c r="R216" s="6">
        <v>6.0</v>
      </c>
      <c r="S216" s="7"/>
      <c r="T216" s="6">
        <v>4.0</v>
      </c>
      <c r="U216" s="6">
        <v>2062.0</v>
      </c>
      <c r="V216" s="7"/>
      <c r="W216" s="7"/>
      <c r="X216" s="8">
        <f t="shared" si="1"/>
        <v>1</v>
      </c>
      <c r="Y216" s="9">
        <f t="shared" si="2"/>
        <v>40</v>
      </c>
      <c r="Z216" s="8">
        <f t="shared" si="3"/>
        <v>1.538461538</v>
      </c>
      <c r="AA216" s="8">
        <f t="shared" si="4"/>
        <v>1.538461538</v>
      </c>
      <c r="AB216" s="8">
        <f t="shared" si="5"/>
        <v>0.3076923077</v>
      </c>
      <c r="AC216" s="8">
        <f t="shared" si="6"/>
        <v>10</v>
      </c>
      <c r="AD216" s="8">
        <f t="shared" si="7"/>
        <v>10</v>
      </c>
      <c r="AE216" s="8">
        <f t="shared" si="8"/>
        <v>2</v>
      </c>
      <c r="AF216" s="8">
        <f t="shared" si="9"/>
        <v>10</v>
      </c>
      <c r="AG216" s="8">
        <f t="shared" si="10"/>
        <v>10</v>
      </c>
      <c r="AH216" s="8">
        <f t="shared" si="11"/>
        <v>2</v>
      </c>
      <c r="AI216" s="10">
        <f t="shared" si="12"/>
        <v>0.5405405405</v>
      </c>
      <c r="AJ216" s="11">
        <f t="shared" si="13"/>
        <v>0.5405405405</v>
      </c>
      <c r="AK216" s="12">
        <f t="shared" si="14"/>
        <v>0.1081081081</v>
      </c>
    </row>
    <row r="217">
      <c r="A217" s="4" t="s">
        <v>272</v>
      </c>
      <c r="B217" s="4" t="s">
        <v>273</v>
      </c>
      <c r="C217" s="4" t="s">
        <v>92</v>
      </c>
      <c r="D217" s="6">
        <v>13140.0</v>
      </c>
      <c r="E217" s="6">
        <v>3128.0</v>
      </c>
      <c r="F217" s="6">
        <v>3128.0</v>
      </c>
      <c r="G217" s="6">
        <v>13140.0</v>
      </c>
      <c r="H217" s="6">
        <v>100.0</v>
      </c>
      <c r="I217" s="6">
        <v>573.0</v>
      </c>
      <c r="J217" s="6">
        <v>8238.0</v>
      </c>
      <c r="K217" s="6">
        <v>110.0</v>
      </c>
      <c r="L217" s="4" t="s">
        <v>133</v>
      </c>
      <c r="M217" s="6">
        <v>24000.0</v>
      </c>
      <c r="N217" s="6">
        <v>14000.0</v>
      </c>
      <c r="O217" s="6">
        <v>5000.0</v>
      </c>
      <c r="P217" s="6">
        <v>15000.0</v>
      </c>
      <c r="Q217" s="6">
        <v>6.0</v>
      </c>
      <c r="R217" s="6">
        <v>42.0</v>
      </c>
      <c r="S217" s="7"/>
      <c r="T217" s="6">
        <v>191.0</v>
      </c>
      <c r="U217" s="6">
        <v>168.0</v>
      </c>
      <c r="V217" s="7"/>
      <c r="W217" s="7"/>
      <c r="X217" s="8">
        <f t="shared" si="1"/>
        <v>0.9333333333</v>
      </c>
      <c r="Y217" s="9">
        <f t="shared" si="2"/>
        <v>29000</v>
      </c>
      <c r="Z217" s="8">
        <f t="shared" si="3"/>
        <v>4.475703325</v>
      </c>
      <c r="AA217" s="8">
        <f t="shared" si="4"/>
        <v>4.795396419</v>
      </c>
      <c r="AB217" s="8">
        <f t="shared" si="5"/>
        <v>0.06106138107</v>
      </c>
      <c r="AC217" s="8">
        <f t="shared" si="6"/>
        <v>24.43280977</v>
      </c>
      <c r="AD217" s="8">
        <f t="shared" si="7"/>
        <v>26.17801047</v>
      </c>
      <c r="AE217" s="8">
        <f t="shared" si="8"/>
        <v>0.3333333333</v>
      </c>
      <c r="AF217" s="8">
        <f t="shared" si="9"/>
        <v>140</v>
      </c>
      <c r="AG217" s="8">
        <f t="shared" si="10"/>
        <v>150</v>
      </c>
      <c r="AH217" s="8">
        <f t="shared" si="11"/>
        <v>1.91</v>
      </c>
      <c r="AI217" s="10">
        <f t="shared" si="12"/>
        <v>1.699441612</v>
      </c>
      <c r="AJ217" s="11">
        <f t="shared" si="13"/>
        <v>1.820830299</v>
      </c>
      <c r="AK217" s="12">
        <f t="shared" si="14"/>
        <v>0.02318523914</v>
      </c>
    </row>
    <row r="218">
      <c r="A218" s="4" t="s">
        <v>274</v>
      </c>
      <c r="B218" s="4" t="s">
        <v>273</v>
      </c>
      <c r="C218" s="4" t="s">
        <v>73</v>
      </c>
      <c r="D218" s="6">
        <v>9593.0</v>
      </c>
      <c r="E218" s="6">
        <v>2283.0</v>
      </c>
      <c r="F218" s="6">
        <v>2283.0</v>
      </c>
      <c r="G218" s="6">
        <v>9593.0</v>
      </c>
      <c r="H218" s="6">
        <v>33.0</v>
      </c>
      <c r="I218" s="6">
        <v>418.0</v>
      </c>
      <c r="J218" s="6">
        <v>4455.0</v>
      </c>
      <c r="K218" s="6">
        <v>96.0</v>
      </c>
      <c r="L218" s="4" t="s">
        <v>133</v>
      </c>
      <c r="M218" s="6">
        <v>17000.0</v>
      </c>
      <c r="N218" s="6">
        <v>10000.0</v>
      </c>
      <c r="O218" s="6">
        <v>5000.0</v>
      </c>
      <c r="P218" s="6">
        <v>9000.0</v>
      </c>
      <c r="Q218" s="6">
        <v>6.0</v>
      </c>
      <c r="R218" s="6">
        <v>44.0</v>
      </c>
      <c r="S218" s="7"/>
      <c r="T218" s="6">
        <v>175.0</v>
      </c>
      <c r="U218" s="6">
        <v>215.0</v>
      </c>
      <c r="V218" s="7"/>
      <c r="W218" s="7"/>
      <c r="X218" s="8">
        <f t="shared" si="1"/>
        <v>1.111111111</v>
      </c>
      <c r="Y218" s="9">
        <f t="shared" si="2"/>
        <v>19000</v>
      </c>
      <c r="Z218" s="8">
        <f t="shared" si="3"/>
        <v>4.380201489</v>
      </c>
      <c r="AA218" s="8">
        <f t="shared" si="4"/>
        <v>3.94218134</v>
      </c>
      <c r="AB218" s="8">
        <f t="shared" si="5"/>
        <v>0.07665352606</v>
      </c>
      <c r="AC218" s="8">
        <f t="shared" si="6"/>
        <v>23.92344498</v>
      </c>
      <c r="AD218" s="8">
        <f t="shared" si="7"/>
        <v>21.53110048</v>
      </c>
      <c r="AE218" s="8">
        <f t="shared" si="8"/>
        <v>0.4186602871</v>
      </c>
      <c r="AF218" s="8">
        <f t="shared" si="9"/>
        <v>303.030303</v>
      </c>
      <c r="AG218" s="8">
        <f t="shared" si="10"/>
        <v>272.7272727</v>
      </c>
      <c r="AH218" s="8">
        <f t="shared" si="11"/>
        <v>5.303030303</v>
      </c>
      <c r="AI218" s="10">
        <f t="shared" si="12"/>
        <v>2.244668911</v>
      </c>
      <c r="AJ218" s="11">
        <f t="shared" si="13"/>
        <v>2.02020202</v>
      </c>
      <c r="AK218" s="12">
        <f t="shared" si="14"/>
        <v>0.03928170595</v>
      </c>
    </row>
    <row r="219">
      <c r="A219" s="4" t="s">
        <v>275</v>
      </c>
      <c r="B219" s="4" t="s">
        <v>273</v>
      </c>
      <c r="C219" s="4" t="s">
        <v>73</v>
      </c>
      <c r="D219" s="6">
        <v>12245.0</v>
      </c>
      <c r="E219" s="6">
        <v>2914.0</v>
      </c>
      <c r="F219" s="6">
        <v>2914.0</v>
      </c>
      <c r="G219" s="6">
        <v>12245.0</v>
      </c>
      <c r="H219" s="6">
        <v>45.0</v>
      </c>
      <c r="I219" s="6">
        <v>534.0</v>
      </c>
      <c r="J219" s="6">
        <v>5687.0</v>
      </c>
      <c r="K219" s="6">
        <v>104.0</v>
      </c>
      <c r="L219" s="4" t="s">
        <v>133</v>
      </c>
      <c r="M219" s="6">
        <v>22000.0</v>
      </c>
      <c r="N219" s="6">
        <v>14000.0</v>
      </c>
      <c r="O219" s="6">
        <v>5000.0</v>
      </c>
      <c r="P219" s="6">
        <v>14000.0</v>
      </c>
      <c r="Q219" s="6">
        <v>6.0</v>
      </c>
      <c r="R219" s="6">
        <v>42.0</v>
      </c>
      <c r="S219" s="7"/>
      <c r="T219" s="6">
        <v>167.0</v>
      </c>
      <c r="U219" s="6">
        <v>187.0</v>
      </c>
      <c r="V219" s="7"/>
      <c r="W219" s="7"/>
      <c r="X219" s="8">
        <f t="shared" si="1"/>
        <v>1</v>
      </c>
      <c r="Y219" s="9">
        <f t="shared" si="2"/>
        <v>28000</v>
      </c>
      <c r="Z219" s="8">
        <f t="shared" si="3"/>
        <v>4.804392588</v>
      </c>
      <c r="AA219" s="8">
        <f t="shared" si="4"/>
        <v>4.804392588</v>
      </c>
      <c r="AB219" s="8">
        <f t="shared" si="5"/>
        <v>0.05730954015</v>
      </c>
      <c r="AC219" s="8">
        <f t="shared" si="6"/>
        <v>26.21722846</v>
      </c>
      <c r="AD219" s="8">
        <f t="shared" si="7"/>
        <v>26.21722846</v>
      </c>
      <c r="AE219" s="8">
        <f t="shared" si="8"/>
        <v>0.3127340824</v>
      </c>
      <c r="AF219" s="8">
        <f t="shared" si="9"/>
        <v>311.1111111</v>
      </c>
      <c r="AG219" s="8">
        <f t="shared" si="10"/>
        <v>311.1111111</v>
      </c>
      <c r="AH219" s="8">
        <f t="shared" si="11"/>
        <v>3.711111111</v>
      </c>
      <c r="AI219" s="10">
        <f t="shared" si="12"/>
        <v>2.46175488</v>
      </c>
      <c r="AJ219" s="11">
        <f t="shared" si="13"/>
        <v>2.46175488</v>
      </c>
      <c r="AK219" s="12">
        <f t="shared" si="14"/>
        <v>0.02936521892</v>
      </c>
    </row>
    <row r="220">
      <c r="A220" s="4" t="s">
        <v>276</v>
      </c>
      <c r="B220" s="4" t="s">
        <v>273</v>
      </c>
      <c r="C220" s="4" t="s">
        <v>92</v>
      </c>
      <c r="D220" s="6">
        <v>6537.0</v>
      </c>
      <c r="E220" s="6">
        <v>1555.0</v>
      </c>
      <c r="F220" s="6">
        <v>1555.0</v>
      </c>
      <c r="G220" s="6">
        <v>6537.0</v>
      </c>
      <c r="H220" s="6">
        <v>52.0</v>
      </c>
      <c r="I220" s="6">
        <v>285.0</v>
      </c>
      <c r="J220" s="6">
        <v>4097.0</v>
      </c>
      <c r="K220" s="6">
        <v>104.0</v>
      </c>
      <c r="L220" s="4" t="s">
        <v>133</v>
      </c>
      <c r="M220" s="6">
        <v>12000.0</v>
      </c>
      <c r="N220" s="6">
        <v>8000.0</v>
      </c>
      <c r="O220" s="6">
        <v>4000.0</v>
      </c>
      <c r="P220" s="6">
        <v>6000.0</v>
      </c>
      <c r="Q220" s="6">
        <v>6.0</v>
      </c>
      <c r="R220" s="6">
        <v>28.0</v>
      </c>
      <c r="S220" s="7"/>
      <c r="T220" s="6">
        <v>124.0</v>
      </c>
      <c r="U220" s="6">
        <v>187.0</v>
      </c>
      <c r="V220" s="7"/>
      <c r="W220" s="7"/>
      <c r="X220" s="8">
        <f t="shared" si="1"/>
        <v>1.333333333</v>
      </c>
      <c r="Y220" s="9">
        <f t="shared" si="2"/>
        <v>14000</v>
      </c>
      <c r="Z220" s="8">
        <f t="shared" si="3"/>
        <v>5.144694534</v>
      </c>
      <c r="AA220" s="8">
        <f t="shared" si="4"/>
        <v>3.8585209</v>
      </c>
      <c r="AB220" s="8">
        <f t="shared" si="5"/>
        <v>0.07974276527</v>
      </c>
      <c r="AC220" s="8">
        <f t="shared" si="6"/>
        <v>28.07017544</v>
      </c>
      <c r="AD220" s="8">
        <f t="shared" si="7"/>
        <v>21.05263158</v>
      </c>
      <c r="AE220" s="8">
        <f t="shared" si="8"/>
        <v>0.4350877193</v>
      </c>
      <c r="AF220" s="8">
        <f t="shared" si="9"/>
        <v>153.8461538</v>
      </c>
      <c r="AG220" s="8">
        <f t="shared" si="10"/>
        <v>115.3846154</v>
      </c>
      <c r="AH220" s="8">
        <f t="shared" si="11"/>
        <v>2.384615385</v>
      </c>
      <c r="AI220" s="10">
        <f t="shared" si="12"/>
        <v>1.952648279</v>
      </c>
      <c r="AJ220" s="11">
        <f t="shared" si="13"/>
        <v>1.464486209</v>
      </c>
      <c r="AK220" s="12">
        <f t="shared" si="14"/>
        <v>0.03026604833</v>
      </c>
    </row>
    <row r="221">
      <c r="A221" s="4" t="s">
        <v>277</v>
      </c>
      <c r="B221" s="4" t="s">
        <v>273</v>
      </c>
      <c r="C221" s="4" t="s">
        <v>73</v>
      </c>
      <c r="D221" s="6">
        <v>6076.0</v>
      </c>
      <c r="E221" s="6">
        <v>1446.0</v>
      </c>
      <c r="F221" s="6">
        <v>1446.0</v>
      </c>
      <c r="G221" s="6">
        <v>6076.0</v>
      </c>
      <c r="H221" s="6">
        <v>23.0</v>
      </c>
      <c r="I221" s="6">
        <v>265.0</v>
      </c>
      <c r="J221" s="6">
        <v>2823.0</v>
      </c>
      <c r="K221" s="6">
        <v>70.0</v>
      </c>
      <c r="L221" s="4" t="s">
        <v>133</v>
      </c>
      <c r="M221" s="6">
        <v>11000.0</v>
      </c>
      <c r="N221" s="6">
        <v>8000.0</v>
      </c>
      <c r="O221" s="6">
        <v>4000.0</v>
      </c>
      <c r="P221" s="6">
        <v>5000.0</v>
      </c>
      <c r="Q221" s="6">
        <v>6.0</v>
      </c>
      <c r="R221" s="6">
        <v>40.0</v>
      </c>
      <c r="S221" s="7"/>
      <c r="T221" s="6">
        <v>159.0</v>
      </c>
      <c r="U221" s="6">
        <v>224.0</v>
      </c>
      <c r="V221" s="7"/>
      <c r="W221" s="7"/>
      <c r="X221" s="8">
        <f t="shared" si="1"/>
        <v>1.6</v>
      </c>
      <c r="Y221" s="9">
        <f t="shared" si="2"/>
        <v>13000</v>
      </c>
      <c r="Z221" s="8">
        <f t="shared" si="3"/>
        <v>5.532503458</v>
      </c>
      <c r="AA221" s="8">
        <f t="shared" si="4"/>
        <v>3.457814661</v>
      </c>
      <c r="AB221" s="8">
        <f t="shared" si="5"/>
        <v>0.1099585062</v>
      </c>
      <c r="AC221" s="8">
        <f t="shared" si="6"/>
        <v>30.18867925</v>
      </c>
      <c r="AD221" s="8">
        <f t="shared" si="7"/>
        <v>18.86792453</v>
      </c>
      <c r="AE221" s="8">
        <f t="shared" si="8"/>
        <v>0.6</v>
      </c>
      <c r="AF221" s="8">
        <f t="shared" si="9"/>
        <v>347.826087</v>
      </c>
      <c r="AG221" s="8">
        <f t="shared" si="10"/>
        <v>217.3913043</v>
      </c>
      <c r="AH221" s="8">
        <f t="shared" si="11"/>
        <v>6.913043478</v>
      </c>
      <c r="AI221" s="10">
        <f t="shared" si="12"/>
        <v>2.833864683</v>
      </c>
      <c r="AJ221" s="11">
        <f t="shared" si="13"/>
        <v>1.771165427</v>
      </c>
      <c r="AK221" s="12">
        <f t="shared" si="14"/>
        <v>0.05632306057</v>
      </c>
    </row>
    <row r="222">
      <c r="A222" s="4" t="s">
        <v>278</v>
      </c>
      <c r="B222" s="4" t="s">
        <v>273</v>
      </c>
      <c r="C222" s="4" t="s">
        <v>92</v>
      </c>
      <c r="D222" s="6">
        <v>8859.0</v>
      </c>
      <c r="E222" s="6">
        <v>2109.0</v>
      </c>
      <c r="F222" s="6">
        <v>2109.0</v>
      </c>
      <c r="G222" s="6">
        <v>8859.0</v>
      </c>
      <c r="H222" s="6">
        <v>60.0</v>
      </c>
      <c r="I222" s="6">
        <v>386.0</v>
      </c>
      <c r="J222" s="6">
        <v>5554.0</v>
      </c>
      <c r="K222" s="6">
        <v>96.0</v>
      </c>
      <c r="L222" s="4" t="s">
        <v>133</v>
      </c>
      <c r="M222" s="6">
        <v>16000.0</v>
      </c>
      <c r="N222" s="6">
        <v>10000.0</v>
      </c>
      <c r="O222" s="6">
        <v>4000.0</v>
      </c>
      <c r="P222" s="6">
        <v>9000.0</v>
      </c>
      <c r="Q222" s="6">
        <v>6.0</v>
      </c>
      <c r="R222" s="6">
        <v>42.0</v>
      </c>
      <c r="S222" s="7"/>
      <c r="T222" s="6">
        <v>185.0</v>
      </c>
      <c r="U222" s="6">
        <v>215.0</v>
      </c>
      <c r="V222" s="7"/>
      <c r="W222" s="7"/>
      <c r="X222" s="8">
        <f t="shared" si="1"/>
        <v>1.111111111</v>
      </c>
      <c r="Y222" s="9">
        <f t="shared" si="2"/>
        <v>19000</v>
      </c>
      <c r="Z222" s="8">
        <f t="shared" si="3"/>
        <v>4.741583689</v>
      </c>
      <c r="AA222" s="8">
        <f t="shared" si="4"/>
        <v>4.26742532</v>
      </c>
      <c r="AB222" s="8">
        <f t="shared" si="5"/>
        <v>0.08771929825</v>
      </c>
      <c r="AC222" s="8">
        <f t="shared" si="6"/>
        <v>25.90673575</v>
      </c>
      <c r="AD222" s="8">
        <f t="shared" si="7"/>
        <v>23.31606218</v>
      </c>
      <c r="AE222" s="8">
        <f t="shared" si="8"/>
        <v>0.4792746114</v>
      </c>
      <c r="AF222" s="8">
        <f t="shared" si="9"/>
        <v>166.6666667</v>
      </c>
      <c r="AG222" s="8">
        <f t="shared" si="10"/>
        <v>150</v>
      </c>
      <c r="AH222" s="8">
        <f t="shared" si="11"/>
        <v>3.083333333</v>
      </c>
      <c r="AI222" s="10">
        <f t="shared" si="12"/>
        <v>1.800504141</v>
      </c>
      <c r="AJ222" s="11">
        <f t="shared" si="13"/>
        <v>1.620453727</v>
      </c>
      <c r="AK222" s="12">
        <f t="shared" si="14"/>
        <v>0.03330932661</v>
      </c>
    </row>
    <row r="223">
      <c r="A223" s="4" t="s">
        <v>279</v>
      </c>
      <c r="B223" s="4" t="s">
        <v>273</v>
      </c>
      <c r="C223" s="5" t="s">
        <v>91</v>
      </c>
      <c r="D223" s="6">
        <v>6297.0</v>
      </c>
      <c r="E223" s="6">
        <v>1498.0</v>
      </c>
      <c r="F223" s="6">
        <v>1498.0</v>
      </c>
      <c r="G223" s="6">
        <v>6297.0</v>
      </c>
      <c r="H223" s="6">
        <v>38.0</v>
      </c>
      <c r="I223" s="6">
        <v>274.0</v>
      </c>
      <c r="J223" s="6">
        <v>3947.0</v>
      </c>
      <c r="K223" s="6">
        <v>86.0</v>
      </c>
      <c r="L223" s="4" t="s">
        <v>133</v>
      </c>
      <c r="M223" s="6">
        <v>20000.0</v>
      </c>
      <c r="N223" s="6">
        <v>5000.0</v>
      </c>
      <c r="O223" s="6">
        <v>2000.0</v>
      </c>
      <c r="P223" s="6">
        <v>10000.0</v>
      </c>
      <c r="Q223" s="6">
        <v>6.0</v>
      </c>
      <c r="R223" s="6">
        <v>38.0</v>
      </c>
      <c r="S223" s="7"/>
      <c r="T223" s="6">
        <v>173.0</v>
      </c>
      <c r="U223" s="6">
        <v>215.0</v>
      </c>
      <c r="V223" s="7"/>
      <c r="W223" s="7"/>
      <c r="X223" s="8">
        <f t="shared" si="1"/>
        <v>0.5</v>
      </c>
      <c r="Y223" s="9">
        <f t="shared" si="2"/>
        <v>15000</v>
      </c>
      <c r="Z223" s="8">
        <f t="shared" si="3"/>
        <v>3.337783712</v>
      </c>
      <c r="AA223" s="8">
        <f t="shared" si="4"/>
        <v>6.675567423</v>
      </c>
      <c r="AB223" s="8">
        <f t="shared" si="5"/>
        <v>0.1154873164</v>
      </c>
      <c r="AC223" s="8">
        <f t="shared" si="6"/>
        <v>18.24817518</v>
      </c>
      <c r="AD223" s="8">
        <f t="shared" si="7"/>
        <v>36.49635036</v>
      </c>
      <c r="AE223" s="8">
        <f t="shared" si="8"/>
        <v>0.6313868613</v>
      </c>
      <c r="AF223" s="8">
        <f t="shared" si="9"/>
        <v>131.5789474</v>
      </c>
      <c r="AG223" s="8">
        <f t="shared" si="10"/>
        <v>263.1578947</v>
      </c>
      <c r="AH223" s="8">
        <f t="shared" si="11"/>
        <v>4.552631579</v>
      </c>
      <c r="AI223" s="10">
        <f t="shared" si="12"/>
        <v>1.2667849</v>
      </c>
      <c r="AJ223" s="11">
        <f t="shared" si="13"/>
        <v>2.5335698</v>
      </c>
      <c r="AK223" s="12">
        <f t="shared" si="14"/>
        <v>0.04383075754</v>
      </c>
    </row>
    <row r="224">
      <c r="A224" s="4" t="s">
        <v>280</v>
      </c>
      <c r="B224" s="4" t="s">
        <v>273</v>
      </c>
      <c r="C224" s="4" t="s">
        <v>60</v>
      </c>
      <c r="D224" s="6">
        <v>16705.0</v>
      </c>
      <c r="E224" s="6">
        <v>3975.0</v>
      </c>
      <c r="F224" s="6">
        <v>3975.0</v>
      </c>
      <c r="G224" s="6">
        <v>16705.0</v>
      </c>
      <c r="H224" s="6">
        <v>51.0</v>
      </c>
      <c r="I224" s="6">
        <v>708.0</v>
      </c>
      <c r="J224" s="6">
        <v>10169.0</v>
      </c>
      <c r="K224" s="6">
        <v>121.0</v>
      </c>
      <c r="L224" s="4" t="s">
        <v>133</v>
      </c>
      <c r="M224" s="6">
        <v>34000.0</v>
      </c>
      <c r="N224" s="6">
        <v>18000.0</v>
      </c>
      <c r="O224" s="6">
        <v>7000.0</v>
      </c>
      <c r="P224" s="6">
        <v>22000.0</v>
      </c>
      <c r="Q224" s="6">
        <v>6.0</v>
      </c>
      <c r="R224" s="6">
        <v>66.0</v>
      </c>
      <c r="S224" s="7"/>
      <c r="T224" s="6">
        <v>269.0</v>
      </c>
      <c r="U224" s="6">
        <v>149.0</v>
      </c>
      <c r="V224" s="5">
        <v>10.0</v>
      </c>
      <c r="W224" s="7"/>
      <c r="X224" s="8">
        <f t="shared" si="1"/>
        <v>0.8181818182</v>
      </c>
      <c r="Y224" s="9">
        <f t="shared" si="2"/>
        <v>40000</v>
      </c>
      <c r="Z224" s="8">
        <f t="shared" si="3"/>
        <v>4.528301887</v>
      </c>
      <c r="AA224" s="8">
        <f t="shared" si="4"/>
        <v>5.534591195</v>
      </c>
      <c r="AB224" s="8">
        <f t="shared" si="5"/>
        <v>0.06767295597</v>
      </c>
      <c r="AC224" s="8">
        <f t="shared" si="6"/>
        <v>25.42372881</v>
      </c>
      <c r="AD224" s="8">
        <f t="shared" si="7"/>
        <v>31.07344633</v>
      </c>
      <c r="AE224" s="8">
        <f t="shared" si="8"/>
        <v>0.3799435028</v>
      </c>
      <c r="AF224" s="8">
        <f t="shared" si="9"/>
        <v>352.9411765</v>
      </c>
      <c r="AG224" s="8">
        <f t="shared" si="10"/>
        <v>431.372549</v>
      </c>
      <c r="AH224" s="8">
        <f t="shared" si="11"/>
        <v>5.274509804</v>
      </c>
      <c r="AI224" s="10">
        <f t="shared" si="12"/>
        <v>1.770085554</v>
      </c>
      <c r="AJ224" s="11">
        <f t="shared" si="13"/>
        <v>2.163437899</v>
      </c>
      <c r="AK224" s="12">
        <f t="shared" si="14"/>
        <v>0.02645294523</v>
      </c>
    </row>
    <row r="225">
      <c r="A225" s="4" t="s">
        <v>281</v>
      </c>
      <c r="B225" s="4" t="s">
        <v>273</v>
      </c>
      <c r="C225" s="4" t="s">
        <v>171</v>
      </c>
      <c r="D225" s="6">
        <v>2473.0</v>
      </c>
      <c r="E225" s="6">
        <v>589.0</v>
      </c>
      <c r="F225" s="6">
        <v>589.0</v>
      </c>
      <c r="G225" s="6">
        <v>2473.0</v>
      </c>
      <c r="H225" s="6">
        <v>10.0</v>
      </c>
      <c r="I225" s="6">
        <v>108.0</v>
      </c>
      <c r="J225" s="6">
        <v>1551.0</v>
      </c>
      <c r="K225" s="6">
        <v>90.0</v>
      </c>
      <c r="L225" s="4" t="s">
        <v>133</v>
      </c>
      <c r="M225" s="6">
        <v>4000.0</v>
      </c>
      <c r="N225" s="6">
        <v>8000.0</v>
      </c>
      <c r="O225" s="6">
        <v>3000.0</v>
      </c>
      <c r="P225" s="6">
        <v>5000.0</v>
      </c>
      <c r="Q225" s="6">
        <v>6.0</v>
      </c>
      <c r="R225" s="6">
        <v>18.0</v>
      </c>
      <c r="S225" s="7"/>
      <c r="T225" s="6">
        <v>72.0</v>
      </c>
      <c r="U225" s="6">
        <v>224.0</v>
      </c>
      <c r="V225" s="7"/>
      <c r="W225" s="7"/>
      <c r="X225" s="8">
        <f t="shared" si="1"/>
        <v>1.6</v>
      </c>
      <c r="Y225" s="9">
        <f t="shared" si="2"/>
        <v>13000</v>
      </c>
      <c r="Z225" s="8">
        <f t="shared" si="3"/>
        <v>13.58234295</v>
      </c>
      <c r="AA225" s="8">
        <f t="shared" si="4"/>
        <v>8.488964346</v>
      </c>
      <c r="AB225" s="8">
        <f t="shared" si="5"/>
        <v>0.1222410866</v>
      </c>
      <c r="AC225" s="8">
        <f t="shared" si="6"/>
        <v>74.07407407</v>
      </c>
      <c r="AD225" s="8">
        <f t="shared" si="7"/>
        <v>46.2962963</v>
      </c>
      <c r="AE225" s="8">
        <f t="shared" si="8"/>
        <v>0.6666666667</v>
      </c>
      <c r="AF225" s="8">
        <f t="shared" si="9"/>
        <v>800</v>
      </c>
      <c r="AG225" s="8">
        <f t="shared" si="10"/>
        <v>500</v>
      </c>
      <c r="AH225" s="8">
        <f t="shared" si="11"/>
        <v>7.2</v>
      </c>
      <c r="AI225" s="10">
        <f t="shared" si="12"/>
        <v>5.157962605</v>
      </c>
      <c r="AJ225" s="11">
        <f t="shared" si="13"/>
        <v>3.223726628</v>
      </c>
      <c r="AK225" s="12">
        <f t="shared" si="14"/>
        <v>0.04642166344</v>
      </c>
    </row>
    <row r="226">
      <c r="A226" s="4" t="s">
        <v>282</v>
      </c>
      <c r="B226" s="4" t="s">
        <v>273</v>
      </c>
      <c r="C226" s="4" t="s">
        <v>73</v>
      </c>
      <c r="D226" s="6">
        <v>22565.0</v>
      </c>
      <c r="E226" s="6">
        <v>5372.0</v>
      </c>
      <c r="F226" s="6">
        <v>5372.0</v>
      </c>
      <c r="G226" s="6">
        <v>22565.0</v>
      </c>
      <c r="H226" s="6">
        <v>80.0</v>
      </c>
      <c r="I226" s="6">
        <v>985.0</v>
      </c>
      <c r="J226" s="6">
        <v>10480.0</v>
      </c>
      <c r="K226" s="6">
        <v>139.0</v>
      </c>
      <c r="L226" s="4" t="s">
        <v>133</v>
      </c>
      <c r="M226" s="6">
        <v>41000.0</v>
      </c>
      <c r="N226" s="6">
        <v>30000.0</v>
      </c>
      <c r="O226" s="6">
        <v>6000.0</v>
      </c>
      <c r="P226" s="6">
        <v>30000.0</v>
      </c>
      <c r="Q226" s="6">
        <v>6.0</v>
      </c>
      <c r="R226" s="6">
        <v>72.0</v>
      </c>
      <c r="S226" s="7"/>
      <c r="T226" s="6">
        <v>287.0</v>
      </c>
      <c r="U226" s="6">
        <v>93.0</v>
      </c>
      <c r="V226" s="5">
        <v>10.0</v>
      </c>
      <c r="W226" s="7"/>
      <c r="X226" s="8">
        <f t="shared" si="1"/>
        <v>1</v>
      </c>
      <c r="Y226" s="9">
        <f t="shared" si="2"/>
        <v>60000</v>
      </c>
      <c r="Z226" s="8">
        <f t="shared" si="3"/>
        <v>5.584512286</v>
      </c>
      <c r="AA226" s="8">
        <f t="shared" si="4"/>
        <v>5.584512286</v>
      </c>
      <c r="AB226" s="8">
        <f t="shared" si="5"/>
        <v>0.05342516754</v>
      </c>
      <c r="AC226" s="8">
        <f t="shared" si="6"/>
        <v>30.45685279</v>
      </c>
      <c r="AD226" s="8">
        <f t="shared" si="7"/>
        <v>30.45685279</v>
      </c>
      <c r="AE226" s="8">
        <f t="shared" si="8"/>
        <v>0.2913705584</v>
      </c>
      <c r="AF226" s="8">
        <f t="shared" si="9"/>
        <v>375</v>
      </c>
      <c r="AG226" s="8">
        <f t="shared" si="10"/>
        <v>375</v>
      </c>
      <c r="AH226" s="8">
        <f t="shared" si="11"/>
        <v>3.5875</v>
      </c>
      <c r="AI226" s="10">
        <f t="shared" si="12"/>
        <v>2.86259542</v>
      </c>
      <c r="AJ226" s="11">
        <f t="shared" si="13"/>
        <v>2.86259542</v>
      </c>
      <c r="AK226" s="12">
        <f t="shared" si="14"/>
        <v>0.02738549618</v>
      </c>
    </row>
    <row r="227">
      <c r="A227" s="4" t="s">
        <v>283</v>
      </c>
      <c r="B227" s="4" t="s">
        <v>273</v>
      </c>
      <c r="C227" s="4" t="s">
        <v>92</v>
      </c>
      <c r="D227" s="6">
        <v>6109.0</v>
      </c>
      <c r="E227" s="6">
        <v>1454.0</v>
      </c>
      <c r="F227" s="6">
        <v>1454.0</v>
      </c>
      <c r="G227" s="6">
        <v>6109.0</v>
      </c>
      <c r="H227" s="6">
        <v>50.0</v>
      </c>
      <c r="I227" s="6">
        <v>266.0</v>
      </c>
      <c r="J227" s="6">
        <v>3830.0</v>
      </c>
      <c r="K227" s="6">
        <v>70.0</v>
      </c>
      <c r="L227" s="4" t="s">
        <v>133</v>
      </c>
      <c r="M227" s="6">
        <v>11000.0</v>
      </c>
      <c r="N227" s="6">
        <v>8000.0</v>
      </c>
      <c r="O227" s="6">
        <v>3000.0</v>
      </c>
      <c r="P227" s="6">
        <v>5000.0</v>
      </c>
      <c r="Q227" s="6">
        <v>6.0</v>
      </c>
      <c r="R227" s="6">
        <v>38.0</v>
      </c>
      <c r="S227" s="7"/>
      <c r="T227" s="6">
        <v>185.0</v>
      </c>
      <c r="U227" s="6">
        <v>224.0</v>
      </c>
      <c r="V227" s="7"/>
      <c r="W227" s="7"/>
      <c r="X227" s="8">
        <f t="shared" si="1"/>
        <v>1.6</v>
      </c>
      <c r="Y227" s="9">
        <f t="shared" si="2"/>
        <v>13000</v>
      </c>
      <c r="Z227" s="8">
        <f t="shared" si="3"/>
        <v>5.502063274</v>
      </c>
      <c r="AA227" s="8">
        <f t="shared" si="4"/>
        <v>3.438789546</v>
      </c>
      <c r="AB227" s="8">
        <f t="shared" si="5"/>
        <v>0.1272352132</v>
      </c>
      <c r="AC227" s="8">
        <f t="shared" si="6"/>
        <v>30.07518797</v>
      </c>
      <c r="AD227" s="8">
        <f t="shared" si="7"/>
        <v>18.79699248</v>
      </c>
      <c r="AE227" s="8">
        <f t="shared" si="8"/>
        <v>0.6954887218</v>
      </c>
      <c r="AF227" s="8">
        <f t="shared" si="9"/>
        <v>160</v>
      </c>
      <c r="AG227" s="8">
        <f t="shared" si="10"/>
        <v>100</v>
      </c>
      <c r="AH227" s="8">
        <f t="shared" si="11"/>
        <v>3.7</v>
      </c>
      <c r="AI227" s="10">
        <f t="shared" si="12"/>
        <v>2.088772846</v>
      </c>
      <c r="AJ227" s="11">
        <f t="shared" si="13"/>
        <v>1.305483029</v>
      </c>
      <c r="AK227" s="12">
        <f t="shared" si="14"/>
        <v>0.04830287206</v>
      </c>
    </row>
    <row r="228">
      <c r="A228" s="4" t="s">
        <v>284</v>
      </c>
      <c r="B228" s="4" t="s">
        <v>273</v>
      </c>
      <c r="C228" s="4" t="s">
        <v>49</v>
      </c>
      <c r="D228" s="6">
        <v>36254.0</v>
      </c>
      <c r="E228" s="6">
        <v>8632.0</v>
      </c>
      <c r="F228" s="6">
        <v>8632.0</v>
      </c>
      <c r="G228" s="6">
        <v>36254.0</v>
      </c>
      <c r="H228" s="6">
        <v>90.0</v>
      </c>
      <c r="I228" s="6">
        <v>1582.0</v>
      </c>
      <c r="J228" s="6">
        <v>22732.0</v>
      </c>
      <c r="K228" s="6">
        <v>139.0</v>
      </c>
      <c r="L228" s="4" t="s">
        <v>133</v>
      </c>
      <c r="M228" s="6">
        <v>44000.0</v>
      </c>
      <c r="N228" s="6">
        <v>32000.0</v>
      </c>
      <c r="O228" s="6">
        <v>14000.0</v>
      </c>
      <c r="P228" s="6">
        <v>32000.0</v>
      </c>
      <c r="Q228" s="6">
        <v>6.0</v>
      </c>
      <c r="R228" s="6">
        <v>72.0</v>
      </c>
      <c r="S228" s="7"/>
      <c r="T228" s="6">
        <v>652.0</v>
      </c>
      <c r="U228" s="6">
        <v>93.0</v>
      </c>
      <c r="V228" s="5">
        <v>30.0</v>
      </c>
      <c r="W228" s="7"/>
      <c r="X228" s="8">
        <f t="shared" si="1"/>
        <v>1</v>
      </c>
      <c r="Y228" s="9">
        <f t="shared" si="2"/>
        <v>64000</v>
      </c>
      <c r="Z228" s="8">
        <f t="shared" si="3"/>
        <v>3.707136237</v>
      </c>
      <c r="AA228" s="8">
        <f t="shared" si="4"/>
        <v>3.707136237</v>
      </c>
      <c r="AB228" s="8">
        <f t="shared" si="5"/>
        <v>0.07553290083</v>
      </c>
      <c r="AC228" s="8">
        <f t="shared" si="6"/>
        <v>20.22756005</v>
      </c>
      <c r="AD228" s="8">
        <f t="shared" si="7"/>
        <v>20.22756005</v>
      </c>
      <c r="AE228" s="8">
        <f t="shared" si="8"/>
        <v>0.412136536</v>
      </c>
      <c r="AF228" s="8">
        <f t="shared" si="9"/>
        <v>355.5555556</v>
      </c>
      <c r="AG228" s="8">
        <f t="shared" si="10"/>
        <v>355.5555556</v>
      </c>
      <c r="AH228" s="8">
        <f t="shared" si="11"/>
        <v>7.244444444</v>
      </c>
      <c r="AI228" s="10">
        <f t="shared" si="12"/>
        <v>1.407707197</v>
      </c>
      <c r="AJ228" s="11">
        <f t="shared" si="13"/>
        <v>1.407707197</v>
      </c>
      <c r="AK228" s="12">
        <f t="shared" si="14"/>
        <v>0.02868203414</v>
      </c>
    </row>
    <row r="229">
      <c r="A229" s="4" t="s">
        <v>285</v>
      </c>
      <c r="B229" s="4" t="s">
        <v>273</v>
      </c>
      <c r="C229" s="4" t="s">
        <v>171</v>
      </c>
      <c r="D229" s="6">
        <v>10198.0</v>
      </c>
      <c r="E229" s="6">
        <v>2426.0</v>
      </c>
      <c r="F229" s="6">
        <v>2426.0</v>
      </c>
      <c r="G229" s="6">
        <v>10198.0</v>
      </c>
      <c r="H229" s="6">
        <v>34.0</v>
      </c>
      <c r="I229" s="6">
        <v>445.0</v>
      </c>
      <c r="J229" s="6">
        <v>6393.0</v>
      </c>
      <c r="K229" s="6">
        <v>124.0</v>
      </c>
      <c r="L229" s="4" t="s">
        <v>133</v>
      </c>
      <c r="M229" s="6">
        <v>18000.0</v>
      </c>
      <c r="N229" s="6">
        <v>10000.0</v>
      </c>
      <c r="O229" s="6">
        <v>5000.0</v>
      </c>
      <c r="P229" s="6">
        <v>9000.0</v>
      </c>
      <c r="Q229" s="6">
        <v>6.0</v>
      </c>
      <c r="R229" s="6">
        <v>25.0</v>
      </c>
      <c r="S229" s="7"/>
      <c r="T229" s="6">
        <v>101.0</v>
      </c>
      <c r="U229" s="6">
        <v>87.0</v>
      </c>
      <c r="V229" s="7"/>
      <c r="W229" s="7"/>
      <c r="X229" s="8">
        <f t="shared" si="1"/>
        <v>1.111111111</v>
      </c>
      <c r="Y229" s="9">
        <f t="shared" si="2"/>
        <v>19000</v>
      </c>
      <c r="Z229" s="8">
        <f t="shared" si="3"/>
        <v>4.122011542</v>
      </c>
      <c r="AA229" s="8">
        <f t="shared" si="4"/>
        <v>3.709810387</v>
      </c>
      <c r="AB229" s="8">
        <f t="shared" si="5"/>
        <v>0.04163231657</v>
      </c>
      <c r="AC229" s="8">
        <f t="shared" si="6"/>
        <v>22.47191011</v>
      </c>
      <c r="AD229" s="8">
        <f t="shared" si="7"/>
        <v>20.2247191</v>
      </c>
      <c r="AE229" s="8">
        <f t="shared" si="8"/>
        <v>0.2269662921</v>
      </c>
      <c r="AF229" s="8">
        <f t="shared" si="9"/>
        <v>294.1176471</v>
      </c>
      <c r="AG229" s="8">
        <f t="shared" si="10"/>
        <v>264.7058824</v>
      </c>
      <c r="AH229" s="8">
        <f t="shared" si="11"/>
        <v>2.970588235</v>
      </c>
      <c r="AI229" s="10">
        <f t="shared" si="12"/>
        <v>1.564210856</v>
      </c>
      <c r="AJ229" s="11">
        <f t="shared" si="13"/>
        <v>1.40778977</v>
      </c>
      <c r="AK229" s="12">
        <f t="shared" si="14"/>
        <v>0.01579852964</v>
      </c>
    </row>
    <row r="230">
      <c r="A230" s="4" t="s">
        <v>139</v>
      </c>
      <c r="B230" s="4" t="s">
        <v>273</v>
      </c>
      <c r="C230" s="4" t="s">
        <v>70</v>
      </c>
      <c r="D230" s="6">
        <v>12440.0</v>
      </c>
      <c r="E230" s="6">
        <v>5923.0</v>
      </c>
      <c r="F230" s="6">
        <v>2961.0</v>
      </c>
      <c r="G230" s="6">
        <v>49762.0</v>
      </c>
      <c r="H230" s="6">
        <v>0.0</v>
      </c>
      <c r="I230" s="6">
        <v>814.0</v>
      </c>
      <c r="J230" s="6">
        <v>15602.0</v>
      </c>
      <c r="K230" s="6">
        <v>113.0</v>
      </c>
      <c r="L230" s="4" t="s">
        <v>133</v>
      </c>
      <c r="M230" s="6">
        <v>28000.0</v>
      </c>
      <c r="N230" s="6">
        <v>16000.0</v>
      </c>
      <c r="O230" s="6">
        <v>7000.0</v>
      </c>
      <c r="P230" s="6">
        <v>16000.0</v>
      </c>
      <c r="Q230" s="6">
        <v>6.0</v>
      </c>
      <c r="R230" s="6">
        <v>42.0</v>
      </c>
      <c r="S230" s="7"/>
      <c r="T230" s="6">
        <v>380.0</v>
      </c>
      <c r="U230" s="6">
        <v>187.0</v>
      </c>
      <c r="V230" s="7"/>
      <c r="W230" s="7"/>
      <c r="X230" s="8">
        <f t="shared" si="1"/>
        <v>1</v>
      </c>
      <c r="Y230" s="9">
        <f t="shared" si="2"/>
        <v>32000</v>
      </c>
      <c r="Z230" s="8">
        <f t="shared" si="3"/>
        <v>2.701333784</v>
      </c>
      <c r="AA230" s="8">
        <f t="shared" si="4"/>
        <v>2.701333784</v>
      </c>
      <c r="AB230" s="8">
        <f t="shared" si="5"/>
        <v>0.06415667736</v>
      </c>
      <c r="AC230" s="8">
        <f t="shared" si="6"/>
        <v>19.65601966</v>
      </c>
      <c r="AD230" s="8">
        <f t="shared" si="7"/>
        <v>19.65601966</v>
      </c>
      <c r="AE230" s="8">
        <f t="shared" si="8"/>
        <v>0.4668304668</v>
      </c>
      <c r="AF230" s="8" t="str">
        <f t="shared" si="9"/>
        <v>#DIV/0!</v>
      </c>
      <c r="AG230" s="8" t="str">
        <f t="shared" si="10"/>
        <v>#DIV/0!</v>
      </c>
      <c r="AH230" s="8" t="str">
        <f t="shared" si="11"/>
        <v>#DIV/0!</v>
      </c>
      <c r="AI230" s="10">
        <f t="shared" si="12"/>
        <v>1.02550955</v>
      </c>
      <c r="AJ230" s="11">
        <f t="shared" si="13"/>
        <v>1.02550955</v>
      </c>
      <c r="AK230" s="12">
        <f t="shared" si="14"/>
        <v>0.02435585181</v>
      </c>
    </row>
    <row r="231">
      <c r="A231" s="4" t="s">
        <v>171</v>
      </c>
      <c r="B231" s="4" t="s">
        <v>273</v>
      </c>
      <c r="C231" s="4" t="s">
        <v>70</v>
      </c>
      <c r="D231" s="6">
        <v>7378.0</v>
      </c>
      <c r="E231" s="6">
        <v>3512.0</v>
      </c>
      <c r="F231" s="6">
        <v>1756.0</v>
      </c>
      <c r="G231" s="6">
        <v>29512.0</v>
      </c>
      <c r="H231" s="6">
        <v>0.0</v>
      </c>
      <c r="I231" s="6">
        <v>483.0</v>
      </c>
      <c r="J231" s="6">
        <v>9253.0</v>
      </c>
      <c r="K231" s="6">
        <v>104.0</v>
      </c>
      <c r="L231" s="4" t="s">
        <v>133</v>
      </c>
      <c r="M231" s="6">
        <v>17000.0</v>
      </c>
      <c r="N231" s="6">
        <v>8000.0</v>
      </c>
      <c r="O231" s="6">
        <v>3000.0</v>
      </c>
      <c r="P231" s="6">
        <v>9000.0</v>
      </c>
      <c r="Q231" s="6">
        <v>6.0</v>
      </c>
      <c r="R231" s="6">
        <v>48.0</v>
      </c>
      <c r="S231" s="7"/>
      <c r="T231" s="6">
        <v>435.0</v>
      </c>
      <c r="U231" s="6">
        <v>187.0</v>
      </c>
      <c r="V231" s="7"/>
      <c r="W231" s="7"/>
      <c r="X231" s="8">
        <f t="shared" si="1"/>
        <v>0.8888888889</v>
      </c>
      <c r="Y231" s="9">
        <f t="shared" si="2"/>
        <v>17000</v>
      </c>
      <c r="Z231" s="8">
        <f t="shared" si="3"/>
        <v>2.277904328</v>
      </c>
      <c r="AA231" s="8">
        <f t="shared" si="4"/>
        <v>2.562642369</v>
      </c>
      <c r="AB231" s="8">
        <f t="shared" si="5"/>
        <v>0.1238610478</v>
      </c>
      <c r="AC231" s="8">
        <f t="shared" si="6"/>
        <v>16.563147</v>
      </c>
      <c r="AD231" s="8">
        <f t="shared" si="7"/>
        <v>18.63354037</v>
      </c>
      <c r="AE231" s="8">
        <f t="shared" si="8"/>
        <v>0.900621118</v>
      </c>
      <c r="AF231" s="8" t="str">
        <f t="shared" si="9"/>
        <v>#DIV/0!</v>
      </c>
      <c r="AG231" s="8" t="str">
        <f t="shared" si="10"/>
        <v>#DIV/0!</v>
      </c>
      <c r="AH231" s="8" t="str">
        <f t="shared" si="11"/>
        <v>#DIV/0!</v>
      </c>
      <c r="AI231" s="10">
        <f t="shared" si="12"/>
        <v>0.8645844591</v>
      </c>
      <c r="AJ231" s="11">
        <f t="shared" si="13"/>
        <v>0.9726575165</v>
      </c>
      <c r="AK231" s="12">
        <f t="shared" si="14"/>
        <v>0.04701177996</v>
      </c>
    </row>
    <row r="232">
      <c r="A232" s="4" t="s">
        <v>286</v>
      </c>
      <c r="B232" s="4" t="s">
        <v>273</v>
      </c>
      <c r="C232" s="5" t="s">
        <v>49</v>
      </c>
      <c r="D232" s="6">
        <v>29373.0</v>
      </c>
      <c r="E232" s="6">
        <v>6993.0</v>
      </c>
      <c r="F232" s="6">
        <v>6993.0</v>
      </c>
      <c r="G232" s="6">
        <v>29373.0</v>
      </c>
      <c r="H232" s="6">
        <v>73.0</v>
      </c>
      <c r="I232" s="6">
        <v>1282.0</v>
      </c>
      <c r="J232" s="6">
        <v>18418.0</v>
      </c>
      <c r="K232" s="6">
        <v>139.0</v>
      </c>
      <c r="L232" s="4" t="s">
        <v>133</v>
      </c>
      <c r="M232" s="6">
        <v>36000.0</v>
      </c>
      <c r="N232" s="6">
        <v>28000.0</v>
      </c>
      <c r="O232" s="6">
        <v>11000.0</v>
      </c>
      <c r="P232" s="6">
        <v>23000.0</v>
      </c>
      <c r="Q232" s="6">
        <v>6.0</v>
      </c>
      <c r="R232" s="6">
        <v>48.0</v>
      </c>
      <c r="S232" s="7"/>
      <c r="T232" s="6">
        <v>435.0</v>
      </c>
      <c r="U232" s="6">
        <v>93.0</v>
      </c>
      <c r="V232" s="5">
        <v>16.0</v>
      </c>
      <c r="W232" s="7"/>
      <c r="X232" s="8">
        <f t="shared" si="1"/>
        <v>1.217391304</v>
      </c>
      <c r="Y232" s="9">
        <f t="shared" si="2"/>
        <v>51000</v>
      </c>
      <c r="Z232" s="8">
        <f t="shared" si="3"/>
        <v>4.004004004</v>
      </c>
      <c r="AA232" s="8">
        <f t="shared" si="4"/>
        <v>3.289003289</v>
      </c>
      <c r="AB232" s="8">
        <f t="shared" si="5"/>
        <v>0.06220506221</v>
      </c>
      <c r="AC232" s="8">
        <f t="shared" si="6"/>
        <v>21.84087363</v>
      </c>
      <c r="AD232" s="8">
        <f t="shared" si="7"/>
        <v>17.94071763</v>
      </c>
      <c r="AE232" s="8">
        <f t="shared" si="8"/>
        <v>0.3393135725</v>
      </c>
      <c r="AF232" s="8">
        <f t="shared" si="9"/>
        <v>383.5616438</v>
      </c>
      <c r="AG232" s="8">
        <f t="shared" si="10"/>
        <v>315.0684932</v>
      </c>
      <c r="AH232" s="8">
        <f t="shared" si="11"/>
        <v>5.95890411</v>
      </c>
      <c r="AI232" s="10">
        <f t="shared" si="12"/>
        <v>1.520251927</v>
      </c>
      <c r="AJ232" s="11">
        <f t="shared" si="13"/>
        <v>1.248778369</v>
      </c>
      <c r="AK232" s="12">
        <f t="shared" si="14"/>
        <v>0.02361819959</v>
      </c>
    </row>
    <row r="233">
      <c r="A233" s="4" t="s">
        <v>287</v>
      </c>
      <c r="B233" s="4" t="s">
        <v>273</v>
      </c>
      <c r="C233" s="4" t="s">
        <v>64</v>
      </c>
      <c r="D233" s="6">
        <v>17961.0</v>
      </c>
      <c r="E233" s="6">
        <v>4276.0</v>
      </c>
      <c r="F233" s="6">
        <v>4276.0</v>
      </c>
      <c r="G233" s="6">
        <v>17961.0</v>
      </c>
      <c r="H233" s="6">
        <v>63.0</v>
      </c>
      <c r="I233" s="6">
        <v>784.0</v>
      </c>
      <c r="J233" s="6">
        <v>11261.0</v>
      </c>
      <c r="K233" s="6">
        <v>93.0</v>
      </c>
      <c r="L233" s="4" t="s">
        <v>133</v>
      </c>
      <c r="M233" s="6">
        <v>33000.0</v>
      </c>
      <c r="N233" s="6">
        <v>16000.0</v>
      </c>
      <c r="O233" s="6">
        <v>7000.0</v>
      </c>
      <c r="P233" s="6">
        <v>22000.0</v>
      </c>
      <c r="Q233" s="6">
        <v>6.0</v>
      </c>
      <c r="R233" s="6">
        <v>72.0</v>
      </c>
      <c r="S233" s="7"/>
      <c r="T233" s="6">
        <v>438.0</v>
      </c>
      <c r="U233" s="6">
        <v>149.0</v>
      </c>
      <c r="V233" s="5">
        <v>10.0</v>
      </c>
      <c r="W233" s="7"/>
      <c r="X233" s="8">
        <f t="shared" si="1"/>
        <v>0.7272727273</v>
      </c>
      <c r="Y233" s="9">
        <f t="shared" si="2"/>
        <v>38000</v>
      </c>
      <c r="Z233" s="8">
        <f t="shared" si="3"/>
        <v>3.74181478</v>
      </c>
      <c r="AA233" s="8">
        <f t="shared" si="4"/>
        <v>5.144995323</v>
      </c>
      <c r="AB233" s="8">
        <f t="shared" si="5"/>
        <v>0.1024321796</v>
      </c>
      <c r="AC233" s="8">
        <f t="shared" si="6"/>
        <v>20.40816327</v>
      </c>
      <c r="AD233" s="8">
        <f t="shared" si="7"/>
        <v>28.06122449</v>
      </c>
      <c r="AE233" s="8">
        <f t="shared" si="8"/>
        <v>0.5586734694</v>
      </c>
      <c r="AF233" s="8">
        <f t="shared" si="9"/>
        <v>253.968254</v>
      </c>
      <c r="AG233" s="8">
        <f t="shared" si="10"/>
        <v>349.2063492</v>
      </c>
      <c r="AH233" s="8">
        <f t="shared" si="11"/>
        <v>6.952380952</v>
      </c>
      <c r="AI233" s="10">
        <f t="shared" si="12"/>
        <v>1.420832963</v>
      </c>
      <c r="AJ233" s="11">
        <f t="shared" si="13"/>
        <v>1.953645325</v>
      </c>
      <c r="AK233" s="12">
        <f t="shared" si="14"/>
        <v>0.03889530237</v>
      </c>
    </row>
    <row r="234">
      <c r="A234" s="4" t="s">
        <v>288</v>
      </c>
      <c r="B234" s="4" t="s">
        <v>273</v>
      </c>
      <c r="C234" s="4" t="s">
        <v>56</v>
      </c>
      <c r="D234" s="6">
        <v>15670.0</v>
      </c>
      <c r="E234" s="6">
        <v>3729.0</v>
      </c>
      <c r="F234" s="6">
        <v>3729.0</v>
      </c>
      <c r="G234" s="6">
        <v>15670.0</v>
      </c>
      <c r="H234" s="6">
        <v>72.0</v>
      </c>
      <c r="I234" s="6">
        <v>705.0</v>
      </c>
      <c r="J234" s="6">
        <v>10129.0</v>
      </c>
      <c r="K234" s="6">
        <v>144.0</v>
      </c>
      <c r="L234" s="4" t="s">
        <v>133</v>
      </c>
      <c r="M234" s="6">
        <v>30000.0</v>
      </c>
      <c r="N234" s="6">
        <v>16000.0</v>
      </c>
      <c r="O234" s="6">
        <v>7000.0</v>
      </c>
      <c r="P234" s="6">
        <v>20000.0</v>
      </c>
      <c r="Q234" s="6">
        <v>6.0</v>
      </c>
      <c r="R234" s="6">
        <v>72.0</v>
      </c>
      <c r="S234" s="7"/>
      <c r="T234" s="6">
        <v>337.0</v>
      </c>
      <c r="U234" s="6">
        <v>187.0</v>
      </c>
      <c r="V234" s="5">
        <v>10.0</v>
      </c>
      <c r="W234" s="7"/>
      <c r="X234" s="8">
        <f t="shared" si="1"/>
        <v>0.8</v>
      </c>
      <c r="Y234" s="9">
        <f t="shared" si="2"/>
        <v>36000</v>
      </c>
      <c r="Z234" s="8">
        <f t="shared" si="3"/>
        <v>4.290694556</v>
      </c>
      <c r="AA234" s="8">
        <f t="shared" si="4"/>
        <v>5.363368195</v>
      </c>
      <c r="AB234" s="8">
        <f t="shared" si="5"/>
        <v>0.09037275409</v>
      </c>
      <c r="AC234" s="8">
        <f t="shared" si="6"/>
        <v>22.69503546</v>
      </c>
      <c r="AD234" s="8">
        <f t="shared" si="7"/>
        <v>28.36879433</v>
      </c>
      <c r="AE234" s="8">
        <f t="shared" si="8"/>
        <v>0.4780141844</v>
      </c>
      <c r="AF234" s="8">
        <f t="shared" si="9"/>
        <v>222.2222222</v>
      </c>
      <c r="AG234" s="8">
        <f t="shared" si="10"/>
        <v>277.7777778</v>
      </c>
      <c r="AH234" s="8">
        <f t="shared" si="11"/>
        <v>4.680555556</v>
      </c>
      <c r="AI234" s="10">
        <f t="shared" si="12"/>
        <v>1.579622865</v>
      </c>
      <c r="AJ234" s="11">
        <f t="shared" si="13"/>
        <v>1.974528581</v>
      </c>
      <c r="AK234" s="12">
        <f t="shared" si="14"/>
        <v>0.03327080659</v>
      </c>
    </row>
    <row r="235">
      <c r="A235" s="4" t="s">
        <v>289</v>
      </c>
      <c r="B235" s="4" t="s">
        <v>273</v>
      </c>
      <c r="C235" s="4" t="s">
        <v>60</v>
      </c>
      <c r="D235" s="6">
        <v>8992.0</v>
      </c>
      <c r="E235" s="6">
        <v>2139.0</v>
      </c>
      <c r="F235" s="6">
        <v>2139.0</v>
      </c>
      <c r="G235" s="6">
        <v>8992.0</v>
      </c>
      <c r="H235" s="6">
        <v>23.0</v>
      </c>
      <c r="I235" s="6">
        <v>381.0</v>
      </c>
      <c r="J235" s="6">
        <v>5474.0</v>
      </c>
      <c r="K235" s="6">
        <v>104.0</v>
      </c>
      <c r="L235" s="4" t="s">
        <v>133</v>
      </c>
      <c r="M235" s="6">
        <v>16000.0</v>
      </c>
      <c r="N235" s="6">
        <v>10000.0</v>
      </c>
      <c r="O235" s="6">
        <v>5000.0</v>
      </c>
      <c r="P235" s="6">
        <v>9000.0</v>
      </c>
      <c r="Q235" s="6">
        <v>6.0</v>
      </c>
      <c r="R235" s="6">
        <v>40.0</v>
      </c>
      <c r="S235" s="7"/>
      <c r="T235" s="6">
        <v>163.0</v>
      </c>
      <c r="U235" s="6">
        <v>187.0</v>
      </c>
      <c r="V235" s="7"/>
      <c r="W235" s="7"/>
      <c r="X235" s="8">
        <f t="shared" si="1"/>
        <v>1.111111111</v>
      </c>
      <c r="Y235" s="9">
        <f t="shared" si="2"/>
        <v>19000</v>
      </c>
      <c r="Z235" s="8">
        <f t="shared" si="3"/>
        <v>4.675081814</v>
      </c>
      <c r="AA235" s="8">
        <f t="shared" si="4"/>
        <v>4.207573633</v>
      </c>
      <c r="AB235" s="8">
        <f t="shared" si="5"/>
        <v>0.07620383357</v>
      </c>
      <c r="AC235" s="8">
        <f t="shared" si="6"/>
        <v>26.24671916</v>
      </c>
      <c r="AD235" s="8">
        <f t="shared" si="7"/>
        <v>23.62204724</v>
      </c>
      <c r="AE235" s="8">
        <f t="shared" si="8"/>
        <v>0.4278215223</v>
      </c>
      <c r="AF235" s="8">
        <f t="shared" si="9"/>
        <v>434.7826087</v>
      </c>
      <c r="AG235" s="8">
        <f t="shared" si="10"/>
        <v>391.3043478</v>
      </c>
      <c r="AH235" s="8">
        <f t="shared" si="11"/>
        <v>7.086956522</v>
      </c>
      <c r="AI235" s="10">
        <f t="shared" si="12"/>
        <v>1.826817684</v>
      </c>
      <c r="AJ235" s="11">
        <f t="shared" si="13"/>
        <v>1.644135915</v>
      </c>
      <c r="AK235" s="12">
        <f t="shared" si="14"/>
        <v>0.02977712824</v>
      </c>
    </row>
    <row r="236">
      <c r="A236" s="4" t="s">
        <v>290</v>
      </c>
      <c r="B236" s="4" t="s">
        <v>273</v>
      </c>
      <c r="C236" s="4" t="s">
        <v>49</v>
      </c>
      <c r="D236" s="6">
        <v>15515.0</v>
      </c>
      <c r="E236" s="6">
        <v>3696.0</v>
      </c>
      <c r="F236" s="6">
        <v>3696.0</v>
      </c>
      <c r="G236" s="6">
        <v>15515.0</v>
      </c>
      <c r="H236" s="6">
        <v>39.0</v>
      </c>
      <c r="I236" s="6">
        <v>677.0</v>
      </c>
      <c r="J236" s="6">
        <v>9727.0</v>
      </c>
      <c r="K236" s="6">
        <v>104.0</v>
      </c>
      <c r="L236" s="4" t="s">
        <v>133</v>
      </c>
      <c r="M236" s="6">
        <v>19000.0</v>
      </c>
      <c r="N236" s="6">
        <v>16000.0</v>
      </c>
      <c r="O236" s="6">
        <v>8000.0</v>
      </c>
      <c r="P236" s="6">
        <v>9000.0</v>
      </c>
      <c r="Q236" s="6">
        <v>6.0</v>
      </c>
      <c r="R236" s="6">
        <v>48.0</v>
      </c>
      <c r="S236" s="7"/>
      <c r="T236" s="6">
        <v>435.0</v>
      </c>
      <c r="U236" s="6">
        <v>187.0</v>
      </c>
      <c r="V236" s="7"/>
      <c r="W236" s="7"/>
      <c r="X236" s="8">
        <f t="shared" si="1"/>
        <v>1.777777778</v>
      </c>
      <c r="Y236" s="9">
        <f t="shared" si="2"/>
        <v>25000</v>
      </c>
      <c r="Z236" s="8">
        <f t="shared" si="3"/>
        <v>4.329004329</v>
      </c>
      <c r="AA236" s="8">
        <f t="shared" si="4"/>
        <v>2.435064935</v>
      </c>
      <c r="AB236" s="8">
        <f t="shared" si="5"/>
        <v>0.1176948052</v>
      </c>
      <c r="AC236" s="8">
        <f t="shared" si="6"/>
        <v>23.63367799</v>
      </c>
      <c r="AD236" s="8">
        <f t="shared" si="7"/>
        <v>13.29394387</v>
      </c>
      <c r="AE236" s="8">
        <f t="shared" si="8"/>
        <v>0.6425406204</v>
      </c>
      <c r="AF236" s="8">
        <f t="shared" si="9"/>
        <v>410.2564103</v>
      </c>
      <c r="AG236" s="8">
        <f t="shared" si="10"/>
        <v>230.7692308</v>
      </c>
      <c r="AH236" s="8">
        <f t="shared" si="11"/>
        <v>11.15384615</v>
      </c>
      <c r="AI236" s="10">
        <f t="shared" si="12"/>
        <v>1.644905932</v>
      </c>
      <c r="AJ236" s="11">
        <f t="shared" si="13"/>
        <v>0.9252595867</v>
      </c>
      <c r="AK236" s="12">
        <f t="shared" si="14"/>
        <v>0.04472088002</v>
      </c>
    </row>
    <row r="237">
      <c r="A237" s="4" t="s">
        <v>291</v>
      </c>
      <c r="B237" s="4" t="s">
        <v>273</v>
      </c>
      <c r="C237" s="4" t="s">
        <v>60</v>
      </c>
      <c r="D237" s="6">
        <v>7197.0</v>
      </c>
      <c r="E237" s="6">
        <v>1712.0</v>
      </c>
      <c r="F237" s="6">
        <v>1712.0</v>
      </c>
      <c r="G237" s="6">
        <v>7197.0</v>
      </c>
      <c r="H237" s="6">
        <v>21.0</v>
      </c>
      <c r="I237" s="6">
        <v>305.0</v>
      </c>
      <c r="J237" s="6">
        <v>4380.0</v>
      </c>
      <c r="K237" s="6">
        <v>84.0</v>
      </c>
      <c r="L237" s="4" t="s">
        <v>133</v>
      </c>
      <c r="M237" s="6">
        <v>13000.0</v>
      </c>
      <c r="N237" s="6">
        <v>8000.0</v>
      </c>
      <c r="O237" s="6">
        <v>4000.0</v>
      </c>
      <c r="P237" s="6">
        <v>6000.0</v>
      </c>
      <c r="Q237" s="6">
        <v>6.0</v>
      </c>
      <c r="R237" s="6">
        <v>28.0</v>
      </c>
      <c r="S237" s="7"/>
      <c r="T237" s="6">
        <v>114.0</v>
      </c>
      <c r="U237" s="6">
        <v>206.0</v>
      </c>
      <c r="V237" s="7"/>
      <c r="W237" s="7"/>
      <c r="X237" s="8">
        <f t="shared" si="1"/>
        <v>1.333333333</v>
      </c>
      <c r="Y237" s="9">
        <f t="shared" si="2"/>
        <v>14000</v>
      </c>
      <c r="Z237" s="8">
        <f t="shared" si="3"/>
        <v>4.672897196</v>
      </c>
      <c r="AA237" s="8">
        <f t="shared" si="4"/>
        <v>3.504672897</v>
      </c>
      <c r="AB237" s="8">
        <f t="shared" si="5"/>
        <v>0.06658878505</v>
      </c>
      <c r="AC237" s="8">
        <f t="shared" si="6"/>
        <v>26.2295082</v>
      </c>
      <c r="AD237" s="8">
        <f t="shared" si="7"/>
        <v>19.67213115</v>
      </c>
      <c r="AE237" s="8">
        <f t="shared" si="8"/>
        <v>0.3737704918</v>
      </c>
      <c r="AF237" s="8">
        <f t="shared" si="9"/>
        <v>380.952381</v>
      </c>
      <c r="AG237" s="8">
        <f t="shared" si="10"/>
        <v>285.7142857</v>
      </c>
      <c r="AH237" s="8">
        <f t="shared" si="11"/>
        <v>5.428571429</v>
      </c>
      <c r="AI237" s="10">
        <f t="shared" si="12"/>
        <v>1.826484018</v>
      </c>
      <c r="AJ237" s="11">
        <f t="shared" si="13"/>
        <v>1.369863014</v>
      </c>
      <c r="AK237" s="12">
        <f t="shared" si="14"/>
        <v>0.02602739726</v>
      </c>
    </row>
    <row r="238">
      <c r="A238" s="4" t="s">
        <v>292</v>
      </c>
      <c r="B238" s="4" t="s">
        <v>273</v>
      </c>
      <c r="C238" s="4" t="s">
        <v>82</v>
      </c>
      <c r="D238" s="6">
        <v>10562.0</v>
      </c>
      <c r="E238" s="6">
        <v>2514.0</v>
      </c>
      <c r="F238" s="6">
        <v>2514.0</v>
      </c>
      <c r="G238" s="6">
        <v>10562.0</v>
      </c>
      <c r="H238" s="6">
        <v>0.0</v>
      </c>
      <c r="I238" s="6">
        <v>461.0</v>
      </c>
      <c r="J238" s="6">
        <v>6623.0</v>
      </c>
      <c r="K238" s="6">
        <v>92.0</v>
      </c>
      <c r="L238" s="4" t="s">
        <v>133</v>
      </c>
      <c r="M238" s="6">
        <v>68000.0</v>
      </c>
      <c r="N238" s="6">
        <v>14000.0</v>
      </c>
      <c r="O238" s="6">
        <v>6000.0</v>
      </c>
      <c r="P238" s="6">
        <v>10000.0</v>
      </c>
      <c r="Q238" s="6">
        <v>6.0</v>
      </c>
      <c r="R238" s="6">
        <v>48.0</v>
      </c>
      <c r="S238" s="7"/>
      <c r="T238" s="6">
        <v>435.0</v>
      </c>
      <c r="U238" s="6">
        <v>189.0</v>
      </c>
      <c r="V238" s="7"/>
      <c r="W238" s="7"/>
      <c r="X238" s="8">
        <f t="shared" si="1"/>
        <v>1.4</v>
      </c>
      <c r="Y238" s="9">
        <f t="shared" si="2"/>
        <v>24000</v>
      </c>
      <c r="Z238" s="8">
        <f t="shared" si="3"/>
        <v>5.568814638</v>
      </c>
      <c r="AA238" s="8">
        <f t="shared" si="4"/>
        <v>3.977724741</v>
      </c>
      <c r="AB238" s="8">
        <f t="shared" si="5"/>
        <v>0.1730310263</v>
      </c>
      <c r="AC238" s="8">
        <f t="shared" si="6"/>
        <v>30.36876356</v>
      </c>
      <c r="AD238" s="8">
        <f t="shared" si="7"/>
        <v>21.69197397</v>
      </c>
      <c r="AE238" s="8">
        <f t="shared" si="8"/>
        <v>0.9436008677</v>
      </c>
      <c r="AF238" s="8" t="str">
        <f t="shared" si="9"/>
        <v>#DIV/0!</v>
      </c>
      <c r="AG238" s="8" t="str">
        <f t="shared" si="10"/>
        <v>#DIV/0!</v>
      </c>
      <c r="AH238" s="8" t="str">
        <f t="shared" si="11"/>
        <v>#DIV/0!</v>
      </c>
      <c r="AI238" s="10">
        <f t="shared" si="12"/>
        <v>2.113845689</v>
      </c>
      <c r="AJ238" s="11">
        <f t="shared" si="13"/>
        <v>1.509889778</v>
      </c>
      <c r="AK238" s="12">
        <f t="shared" si="14"/>
        <v>0.06568020535</v>
      </c>
    </row>
    <row r="239">
      <c r="A239" s="4" t="s">
        <v>293</v>
      </c>
      <c r="B239" s="4" t="s">
        <v>273</v>
      </c>
      <c r="C239" s="4" t="s">
        <v>82</v>
      </c>
      <c r="D239" s="6">
        <v>14227.0</v>
      </c>
      <c r="E239" s="6">
        <v>3387.0</v>
      </c>
      <c r="F239" s="6">
        <v>3387.0</v>
      </c>
      <c r="G239" s="6">
        <v>14227.0</v>
      </c>
      <c r="H239" s="6">
        <v>0.0</v>
      </c>
      <c r="I239" s="6">
        <v>621.0</v>
      </c>
      <c r="J239" s="6">
        <v>8921.0</v>
      </c>
      <c r="K239" s="6">
        <v>102.0</v>
      </c>
      <c r="L239" s="4" t="s">
        <v>133</v>
      </c>
      <c r="M239" s="6">
        <v>65000.0</v>
      </c>
      <c r="N239" s="6">
        <v>14000.0</v>
      </c>
      <c r="O239" s="6">
        <v>6000.0</v>
      </c>
      <c r="P239" s="6">
        <v>10000.0</v>
      </c>
      <c r="Q239" s="6">
        <v>6.0</v>
      </c>
      <c r="R239" s="6">
        <v>46.0</v>
      </c>
      <c r="S239" s="7"/>
      <c r="T239" s="6">
        <v>362.0</v>
      </c>
      <c r="U239" s="6">
        <v>189.0</v>
      </c>
      <c r="V239" s="7"/>
      <c r="W239" s="7"/>
      <c r="X239" s="8">
        <f t="shared" si="1"/>
        <v>1.4</v>
      </c>
      <c r="Y239" s="9">
        <f t="shared" si="2"/>
        <v>24000</v>
      </c>
      <c r="Z239" s="8">
        <f t="shared" si="3"/>
        <v>4.133451432</v>
      </c>
      <c r="AA239" s="8">
        <f t="shared" si="4"/>
        <v>2.952465309</v>
      </c>
      <c r="AB239" s="8">
        <f t="shared" si="5"/>
        <v>0.1068792442</v>
      </c>
      <c r="AC239" s="8">
        <f t="shared" si="6"/>
        <v>22.54428341</v>
      </c>
      <c r="AD239" s="8">
        <f t="shared" si="7"/>
        <v>16.10305958</v>
      </c>
      <c r="AE239" s="8">
        <f t="shared" si="8"/>
        <v>0.5829307568</v>
      </c>
      <c r="AF239" s="8" t="str">
        <f t="shared" si="9"/>
        <v>#DIV/0!</v>
      </c>
      <c r="AG239" s="8" t="str">
        <f t="shared" si="10"/>
        <v>#DIV/0!</v>
      </c>
      <c r="AH239" s="8" t="str">
        <f t="shared" si="11"/>
        <v>#DIV/0!</v>
      </c>
      <c r="AI239" s="10">
        <f t="shared" si="12"/>
        <v>1.569330793</v>
      </c>
      <c r="AJ239" s="11">
        <f t="shared" si="13"/>
        <v>1.120950566</v>
      </c>
      <c r="AK239" s="12">
        <f t="shared" si="14"/>
        <v>0.04057841049</v>
      </c>
    </row>
    <row r="240">
      <c r="A240" s="4" t="s">
        <v>294</v>
      </c>
      <c r="B240" s="4" t="s">
        <v>273</v>
      </c>
      <c r="C240" s="4" t="s">
        <v>82</v>
      </c>
      <c r="D240" s="6">
        <v>10189.0</v>
      </c>
      <c r="E240" s="6">
        <v>2425.0</v>
      </c>
      <c r="F240" s="6">
        <v>2425.0</v>
      </c>
      <c r="G240" s="6">
        <v>10189.0</v>
      </c>
      <c r="H240" s="6">
        <v>0.0</v>
      </c>
      <c r="I240" s="6">
        <v>444.0</v>
      </c>
      <c r="J240" s="6">
        <v>6389.0</v>
      </c>
      <c r="K240" s="6">
        <v>92.0</v>
      </c>
      <c r="L240" s="4" t="s">
        <v>133</v>
      </c>
      <c r="M240" s="6">
        <v>61000.0</v>
      </c>
      <c r="N240" s="6">
        <v>14000.0</v>
      </c>
      <c r="O240" s="6">
        <v>6000.0</v>
      </c>
      <c r="P240" s="6">
        <v>9000.0</v>
      </c>
      <c r="Q240" s="6">
        <v>6.0</v>
      </c>
      <c r="R240" s="6">
        <v>44.0</v>
      </c>
      <c r="S240" s="7"/>
      <c r="T240" s="6">
        <v>398.0</v>
      </c>
      <c r="U240" s="6">
        <v>189.0</v>
      </c>
      <c r="V240" s="5">
        <v>10.0</v>
      </c>
      <c r="W240" s="7"/>
      <c r="X240" s="8">
        <f t="shared" si="1"/>
        <v>1.555555556</v>
      </c>
      <c r="Y240" s="9">
        <f t="shared" si="2"/>
        <v>23000</v>
      </c>
      <c r="Z240" s="8">
        <f t="shared" si="3"/>
        <v>5.773195876</v>
      </c>
      <c r="AA240" s="8">
        <f t="shared" si="4"/>
        <v>3.711340206</v>
      </c>
      <c r="AB240" s="8">
        <f t="shared" si="5"/>
        <v>0.1641237113</v>
      </c>
      <c r="AC240" s="8">
        <f t="shared" si="6"/>
        <v>31.53153153</v>
      </c>
      <c r="AD240" s="8">
        <f t="shared" si="7"/>
        <v>20.27027027</v>
      </c>
      <c r="AE240" s="8">
        <f t="shared" si="8"/>
        <v>0.8963963964</v>
      </c>
      <c r="AF240" s="8" t="str">
        <f t="shared" si="9"/>
        <v>#DIV/0!</v>
      </c>
      <c r="AG240" s="8" t="str">
        <f t="shared" si="10"/>
        <v>#DIV/0!</v>
      </c>
      <c r="AH240" s="8" t="str">
        <f t="shared" si="11"/>
        <v>#DIV/0!</v>
      </c>
      <c r="AI240" s="10">
        <f t="shared" si="12"/>
        <v>2.191266239</v>
      </c>
      <c r="AJ240" s="11">
        <f t="shared" si="13"/>
        <v>1.408671154</v>
      </c>
      <c r="AK240" s="12">
        <f t="shared" si="14"/>
        <v>0.06229456879</v>
      </c>
    </row>
    <row r="241">
      <c r="A241" s="4" t="s">
        <v>295</v>
      </c>
      <c r="B241" s="4" t="s">
        <v>273</v>
      </c>
      <c r="C241" s="4" t="s">
        <v>82</v>
      </c>
      <c r="D241" s="6">
        <v>11819.0</v>
      </c>
      <c r="E241" s="6">
        <v>2814.0</v>
      </c>
      <c r="F241" s="6">
        <v>2814.0</v>
      </c>
      <c r="G241" s="6">
        <v>11819.0</v>
      </c>
      <c r="H241" s="6">
        <v>0.0</v>
      </c>
      <c r="I241" s="6">
        <v>516.0</v>
      </c>
      <c r="J241" s="6">
        <v>7411.0</v>
      </c>
      <c r="K241" s="6">
        <v>84.0</v>
      </c>
      <c r="L241" s="4" t="s">
        <v>133</v>
      </c>
      <c r="M241" s="6">
        <v>69000.0</v>
      </c>
      <c r="N241" s="6">
        <v>14000.0</v>
      </c>
      <c r="O241" s="6">
        <v>6000.0</v>
      </c>
      <c r="P241" s="6">
        <v>10000.0</v>
      </c>
      <c r="Q241" s="6">
        <v>6.0</v>
      </c>
      <c r="R241" s="6">
        <v>42.0</v>
      </c>
      <c r="S241" s="7"/>
      <c r="T241" s="6">
        <v>380.0</v>
      </c>
      <c r="U241" s="6">
        <v>189.0</v>
      </c>
      <c r="V241" s="5">
        <v>10.0</v>
      </c>
      <c r="W241" s="7"/>
      <c r="X241" s="8">
        <f t="shared" si="1"/>
        <v>1.4</v>
      </c>
      <c r="Y241" s="9">
        <f t="shared" si="2"/>
        <v>24000</v>
      </c>
      <c r="Z241" s="8">
        <f t="shared" si="3"/>
        <v>4.975124378</v>
      </c>
      <c r="AA241" s="8">
        <f t="shared" si="4"/>
        <v>3.55366027</v>
      </c>
      <c r="AB241" s="8">
        <f t="shared" si="5"/>
        <v>0.1350390903</v>
      </c>
      <c r="AC241" s="8">
        <f t="shared" si="6"/>
        <v>27.13178295</v>
      </c>
      <c r="AD241" s="8">
        <f t="shared" si="7"/>
        <v>19.37984496</v>
      </c>
      <c r="AE241" s="8">
        <f t="shared" si="8"/>
        <v>0.7364341085</v>
      </c>
      <c r="AF241" s="8" t="str">
        <f t="shared" si="9"/>
        <v>#DIV/0!</v>
      </c>
      <c r="AG241" s="8" t="str">
        <f t="shared" si="10"/>
        <v>#DIV/0!</v>
      </c>
      <c r="AH241" s="8" t="str">
        <f t="shared" si="11"/>
        <v>#DIV/0!</v>
      </c>
      <c r="AI241" s="10">
        <f t="shared" si="12"/>
        <v>1.889083794</v>
      </c>
      <c r="AJ241" s="11">
        <f t="shared" si="13"/>
        <v>1.349345567</v>
      </c>
      <c r="AK241" s="12">
        <f t="shared" si="14"/>
        <v>0.05127513156</v>
      </c>
    </row>
    <row r="242">
      <c r="A242" s="4" t="s">
        <v>296</v>
      </c>
      <c r="B242" s="4" t="s">
        <v>273</v>
      </c>
      <c r="C242" s="4" t="s">
        <v>82</v>
      </c>
      <c r="D242" s="6">
        <v>10513.0</v>
      </c>
      <c r="E242" s="6">
        <v>2501.0</v>
      </c>
      <c r="F242" s="6">
        <v>2501.0</v>
      </c>
      <c r="G242" s="6">
        <v>10513.0</v>
      </c>
      <c r="H242" s="6">
        <v>0.0</v>
      </c>
      <c r="I242" s="6">
        <v>459.0</v>
      </c>
      <c r="J242" s="6">
        <v>5691.0</v>
      </c>
      <c r="K242" s="6">
        <v>83.0</v>
      </c>
      <c r="L242" s="4" t="s">
        <v>133</v>
      </c>
      <c r="M242" s="6">
        <v>63000.0</v>
      </c>
      <c r="N242" s="6">
        <v>14000.0</v>
      </c>
      <c r="O242" s="6">
        <v>6000.0</v>
      </c>
      <c r="P242" s="6">
        <v>10000.0</v>
      </c>
      <c r="Q242" s="6">
        <v>6.0</v>
      </c>
      <c r="R242" s="6">
        <v>42.0</v>
      </c>
      <c r="S242" s="7"/>
      <c r="T242" s="6">
        <v>380.0</v>
      </c>
      <c r="U242" s="6">
        <v>189.0</v>
      </c>
      <c r="V242" s="5">
        <v>12.0</v>
      </c>
      <c r="W242" s="7"/>
      <c r="X242" s="8">
        <f t="shared" si="1"/>
        <v>1.4</v>
      </c>
      <c r="Y242" s="9">
        <f t="shared" si="2"/>
        <v>24000</v>
      </c>
      <c r="Z242" s="8">
        <f t="shared" si="3"/>
        <v>5.597760896</v>
      </c>
      <c r="AA242" s="8">
        <f t="shared" si="4"/>
        <v>3.99840064</v>
      </c>
      <c r="AB242" s="8">
        <f t="shared" si="5"/>
        <v>0.1519392243</v>
      </c>
      <c r="AC242" s="8">
        <f t="shared" si="6"/>
        <v>30.50108932</v>
      </c>
      <c r="AD242" s="8">
        <f t="shared" si="7"/>
        <v>21.78649237</v>
      </c>
      <c r="AE242" s="8">
        <f t="shared" si="8"/>
        <v>0.8278867102</v>
      </c>
      <c r="AF242" s="8" t="str">
        <f t="shared" si="9"/>
        <v>#DIV/0!</v>
      </c>
      <c r="AG242" s="8" t="str">
        <f t="shared" si="10"/>
        <v>#DIV/0!</v>
      </c>
      <c r="AH242" s="8" t="str">
        <f t="shared" si="11"/>
        <v>#DIV/0!</v>
      </c>
      <c r="AI242" s="10">
        <f t="shared" si="12"/>
        <v>2.4600246</v>
      </c>
      <c r="AJ242" s="11">
        <f t="shared" si="13"/>
        <v>1.757160429</v>
      </c>
      <c r="AK242" s="12">
        <f t="shared" si="14"/>
        <v>0.06677209629</v>
      </c>
    </row>
    <row r="243">
      <c r="A243" s="4" t="s">
        <v>297</v>
      </c>
      <c r="B243" s="4" t="s">
        <v>273</v>
      </c>
      <c r="C243" s="4" t="s">
        <v>82</v>
      </c>
      <c r="D243" s="6">
        <v>8040.0</v>
      </c>
      <c r="E243" s="6">
        <v>1913.0</v>
      </c>
      <c r="F243" s="6">
        <v>1913.0</v>
      </c>
      <c r="G243" s="6">
        <v>8040.0</v>
      </c>
      <c r="H243" s="6">
        <v>0.0</v>
      </c>
      <c r="I243" s="6">
        <v>351.0</v>
      </c>
      <c r="J243" s="6">
        <v>5040.0</v>
      </c>
      <c r="K243" s="6">
        <v>133.0</v>
      </c>
      <c r="L243" s="4" t="s">
        <v>133</v>
      </c>
      <c r="M243" s="6">
        <v>47000.0</v>
      </c>
      <c r="N243" s="6">
        <v>10000.0</v>
      </c>
      <c r="O243" s="6">
        <v>6000.0</v>
      </c>
      <c r="P243" s="6">
        <v>7000.0</v>
      </c>
      <c r="Q243" s="6">
        <v>6.0</v>
      </c>
      <c r="R243" s="6">
        <v>30.0</v>
      </c>
      <c r="S243" s="7"/>
      <c r="T243" s="6">
        <v>271.0</v>
      </c>
      <c r="U243" s="6">
        <v>189.0</v>
      </c>
      <c r="V243" s="5">
        <v>6.0</v>
      </c>
      <c r="W243" s="7"/>
      <c r="X243" s="8">
        <f t="shared" si="1"/>
        <v>1.428571429</v>
      </c>
      <c r="Y243" s="9">
        <f t="shared" si="2"/>
        <v>17000</v>
      </c>
      <c r="Z243" s="8">
        <f t="shared" si="3"/>
        <v>5.227391532</v>
      </c>
      <c r="AA243" s="8">
        <f t="shared" si="4"/>
        <v>3.659174072</v>
      </c>
      <c r="AB243" s="8">
        <f t="shared" si="5"/>
        <v>0.1416623105</v>
      </c>
      <c r="AC243" s="8">
        <f t="shared" si="6"/>
        <v>28.49002849</v>
      </c>
      <c r="AD243" s="8">
        <f t="shared" si="7"/>
        <v>19.94301994</v>
      </c>
      <c r="AE243" s="8">
        <f t="shared" si="8"/>
        <v>0.7720797721</v>
      </c>
      <c r="AF243" s="8" t="str">
        <f t="shared" si="9"/>
        <v>#DIV/0!</v>
      </c>
      <c r="AG243" s="8" t="str">
        <f t="shared" si="10"/>
        <v>#DIV/0!</v>
      </c>
      <c r="AH243" s="8" t="str">
        <f t="shared" si="11"/>
        <v>#DIV/0!</v>
      </c>
      <c r="AI243" s="10">
        <f t="shared" si="12"/>
        <v>1.984126984</v>
      </c>
      <c r="AJ243" s="11">
        <f t="shared" si="13"/>
        <v>1.388888889</v>
      </c>
      <c r="AK243" s="12">
        <f t="shared" si="14"/>
        <v>0.05376984127</v>
      </c>
    </row>
    <row r="244">
      <c r="A244" s="4" t="s">
        <v>298</v>
      </c>
      <c r="B244" s="4" t="s">
        <v>273</v>
      </c>
      <c r="C244" s="4" t="s">
        <v>82</v>
      </c>
      <c r="D244" s="6">
        <v>8609.0</v>
      </c>
      <c r="E244" s="6">
        <v>2049.0</v>
      </c>
      <c r="F244" s="6">
        <v>2049.0</v>
      </c>
      <c r="G244" s="6">
        <v>8609.0</v>
      </c>
      <c r="H244" s="6">
        <v>0.0</v>
      </c>
      <c r="I244" s="6">
        <v>375.0</v>
      </c>
      <c r="J244" s="6">
        <v>5397.0</v>
      </c>
      <c r="K244" s="6">
        <v>138.0</v>
      </c>
      <c r="L244" s="4" t="s">
        <v>133</v>
      </c>
      <c r="M244" s="6">
        <v>50000.0</v>
      </c>
      <c r="N244" s="6">
        <v>10000.0</v>
      </c>
      <c r="O244" s="6">
        <v>6000.0</v>
      </c>
      <c r="P244" s="6">
        <v>7000.0</v>
      </c>
      <c r="Q244" s="6">
        <v>6.0</v>
      </c>
      <c r="R244" s="6">
        <v>34.0</v>
      </c>
      <c r="S244" s="7"/>
      <c r="T244" s="6">
        <v>308.0</v>
      </c>
      <c r="U244" s="6">
        <v>189.0</v>
      </c>
      <c r="V244" s="7"/>
      <c r="W244" s="7"/>
      <c r="X244" s="8">
        <f t="shared" si="1"/>
        <v>1.428571429</v>
      </c>
      <c r="Y244" s="9">
        <f t="shared" si="2"/>
        <v>17000</v>
      </c>
      <c r="Z244" s="8">
        <f t="shared" si="3"/>
        <v>4.880429478</v>
      </c>
      <c r="AA244" s="8">
        <f t="shared" si="4"/>
        <v>3.416300634</v>
      </c>
      <c r="AB244" s="8">
        <f t="shared" si="5"/>
        <v>0.1503172279</v>
      </c>
      <c r="AC244" s="8">
        <f t="shared" si="6"/>
        <v>26.66666667</v>
      </c>
      <c r="AD244" s="8">
        <f t="shared" si="7"/>
        <v>18.66666667</v>
      </c>
      <c r="AE244" s="8">
        <f t="shared" si="8"/>
        <v>0.8213333333</v>
      </c>
      <c r="AF244" s="8" t="str">
        <f t="shared" si="9"/>
        <v>#DIV/0!</v>
      </c>
      <c r="AG244" s="8" t="str">
        <f t="shared" si="10"/>
        <v>#DIV/0!</v>
      </c>
      <c r="AH244" s="8" t="str">
        <f t="shared" si="11"/>
        <v>#DIV/0!</v>
      </c>
      <c r="AI244" s="10">
        <f t="shared" si="12"/>
        <v>1.85288123</v>
      </c>
      <c r="AJ244" s="11">
        <f t="shared" si="13"/>
        <v>1.297016861</v>
      </c>
      <c r="AK244" s="12">
        <f t="shared" si="14"/>
        <v>0.05706874189</v>
      </c>
    </row>
    <row r="245">
      <c r="A245" s="4" t="s">
        <v>299</v>
      </c>
      <c r="B245" s="4" t="s">
        <v>273</v>
      </c>
      <c r="C245" s="4" t="s">
        <v>82</v>
      </c>
      <c r="D245" s="6">
        <v>9565.0</v>
      </c>
      <c r="E245" s="6">
        <v>2277.0</v>
      </c>
      <c r="F245" s="6">
        <v>2277.0</v>
      </c>
      <c r="G245" s="6">
        <v>9565.0</v>
      </c>
      <c r="H245" s="6">
        <v>0.0</v>
      </c>
      <c r="I245" s="6">
        <v>417.0</v>
      </c>
      <c r="J245" s="6">
        <v>5997.0</v>
      </c>
      <c r="K245" s="6">
        <v>127.0</v>
      </c>
      <c r="L245" s="4" t="s">
        <v>133</v>
      </c>
      <c r="M245" s="6">
        <v>46000.0</v>
      </c>
      <c r="N245" s="6">
        <v>14000.0</v>
      </c>
      <c r="O245" s="6">
        <v>5000.0</v>
      </c>
      <c r="P245" s="6">
        <v>7000.0</v>
      </c>
      <c r="Q245" s="6">
        <v>6.0</v>
      </c>
      <c r="R245" s="6">
        <v>30.0</v>
      </c>
      <c r="S245" s="7"/>
      <c r="T245" s="6">
        <v>235.0</v>
      </c>
      <c r="U245" s="6">
        <v>189.0</v>
      </c>
      <c r="V245" s="5">
        <v>6.0</v>
      </c>
      <c r="W245" s="7"/>
      <c r="X245" s="8">
        <f t="shared" si="1"/>
        <v>2</v>
      </c>
      <c r="Y245" s="9">
        <f t="shared" si="2"/>
        <v>21000</v>
      </c>
      <c r="Z245" s="8">
        <f t="shared" si="3"/>
        <v>6.148440931</v>
      </c>
      <c r="AA245" s="8">
        <f t="shared" si="4"/>
        <v>3.074220466</v>
      </c>
      <c r="AB245" s="8">
        <f t="shared" si="5"/>
        <v>0.1032059728</v>
      </c>
      <c r="AC245" s="8">
        <f t="shared" si="6"/>
        <v>33.57314149</v>
      </c>
      <c r="AD245" s="8">
        <f t="shared" si="7"/>
        <v>16.78657074</v>
      </c>
      <c r="AE245" s="8">
        <f t="shared" si="8"/>
        <v>0.5635491607</v>
      </c>
      <c r="AF245" s="8" t="str">
        <f t="shared" si="9"/>
        <v>#DIV/0!</v>
      </c>
      <c r="AG245" s="8" t="str">
        <f t="shared" si="10"/>
        <v>#DIV/0!</v>
      </c>
      <c r="AH245" s="8" t="str">
        <f t="shared" si="11"/>
        <v>#DIV/0!</v>
      </c>
      <c r="AI245" s="10">
        <f t="shared" si="12"/>
        <v>2.334500584</v>
      </c>
      <c r="AJ245" s="11">
        <f t="shared" si="13"/>
        <v>1.167250292</v>
      </c>
      <c r="AK245" s="12">
        <f t="shared" si="14"/>
        <v>0.0391862598</v>
      </c>
    </row>
    <row r="246">
      <c r="A246" s="4" t="s">
        <v>300</v>
      </c>
      <c r="B246" s="4" t="s">
        <v>273</v>
      </c>
      <c r="C246" s="4" t="s">
        <v>82</v>
      </c>
      <c r="D246" s="6">
        <v>8959.0</v>
      </c>
      <c r="E246" s="6">
        <v>2132.0</v>
      </c>
      <c r="F246" s="6">
        <v>2132.0</v>
      </c>
      <c r="G246" s="6">
        <v>8959.0</v>
      </c>
      <c r="H246" s="6">
        <v>0.0</v>
      </c>
      <c r="I246" s="6">
        <v>391.0</v>
      </c>
      <c r="J246" s="6">
        <v>5618.0</v>
      </c>
      <c r="K246" s="6">
        <v>136.0</v>
      </c>
      <c r="L246" s="4" t="s">
        <v>133</v>
      </c>
      <c r="M246" s="6">
        <v>49000.0</v>
      </c>
      <c r="N246" s="6">
        <v>12000.0</v>
      </c>
      <c r="O246" s="6">
        <v>6000.0</v>
      </c>
      <c r="P246" s="6">
        <v>8000.0</v>
      </c>
      <c r="Q246" s="6">
        <v>6.0</v>
      </c>
      <c r="R246" s="6">
        <v>30.0</v>
      </c>
      <c r="S246" s="7"/>
      <c r="T246" s="6">
        <v>271.0</v>
      </c>
      <c r="U246" s="6">
        <v>189.0</v>
      </c>
      <c r="V246" s="7"/>
      <c r="W246" s="7"/>
      <c r="X246" s="8">
        <f t="shared" si="1"/>
        <v>1.5</v>
      </c>
      <c r="Y246" s="9">
        <f t="shared" si="2"/>
        <v>20000</v>
      </c>
      <c r="Z246" s="8">
        <f t="shared" si="3"/>
        <v>5.628517824</v>
      </c>
      <c r="AA246" s="8">
        <f t="shared" si="4"/>
        <v>3.752345216</v>
      </c>
      <c r="AB246" s="8">
        <f t="shared" si="5"/>
        <v>0.1271106942</v>
      </c>
      <c r="AC246" s="8">
        <f t="shared" si="6"/>
        <v>30.69053708</v>
      </c>
      <c r="AD246" s="8">
        <f t="shared" si="7"/>
        <v>20.46035806</v>
      </c>
      <c r="AE246" s="8">
        <f t="shared" si="8"/>
        <v>0.6930946292</v>
      </c>
      <c r="AF246" s="8" t="str">
        <f t="shared" si="9"/>
        <v>#DIV/0!</v>
      </c>
      <c r="AG246" s="8" t="str">
        <f t="shared" si="10"/>
        <v>#DIV/0!</v>
      </c>
      <c r="AH246" s="8" t="str">
        <f t="shared" si="11"/>
        <v>#DIV/0!</v>
      </c>
      <c r="AI246" s="10">
        <f t="shared" si="12"/>
        <v>2.135991456</v>
      </c>
      <c r="AJ246" s="11">
        <f t="shared" si="13"/>
        <v>1.423994304</v>
      </c>
      <c r="AK246" s="12">
        <f t="shared" si="14"/>
        <v>0.04823780705</v>
      </c>
    </row>
    <row r="247">
      <c r="A247" s="4" t="s">
        <v>301</v>
      </c>
      <c r="B247" s="4" t="s">
        <v>273</v>
      </c>
      <c r="C247" s="4" t="s">
        <v>82</v>
      </c>
      <c r="D247" s="6">
        <v>16262.0</v>
      </c>
      <c r="E247" s="6">
        <v>3870.0</v>
      </c>
      <c r="F247" s="6">
        <v>3870.0</v>
      </c>
      <c r="G247" s="6">
        <v>16262.0</v>
      </c>
      <c r="H247" s="6">
        <v>0.0</v>
      </c>
      <c r="I247" s="6">
        <v>710.0</v>
      </c>
      <c r="J247" s="6">
        <v>10196.0</v>
      </c>
      <c r="K247" s="6">
        <v>123.0</v>
      </c>
      <c r="L247" s="4" t="s">
        <v>133</v>
      </c>
      <c r="M247" s="6">
        <v>66000.0</v>
      </c>
      <c r="N247" s="6">
        <v>18000.0</v>
      </c>
      <c r="O247" s="6">
        <v>6000.0</v>
      </c>
      <c r="P247" s="6">
        <v>14000.0</v>
      </c>
      <c r="Q247" s="6">
        <v>6.0</v>
      </c>
      <c r="R247" s="6">
        <v>50.0</v>
      </c>
      <c r="S247" s="7"/>
      <c r="T247" s="6">
        <v>453.0</v>
      </c>
      <c r="U247" s="6">
        <v>119.0</v>
      </c>
      <c r="V247" s="5">
        <v>14.0</v>
      </c>
      <c r="W247" s="7"/>
      <c r="X247" s="8">
        <f t="shared" si="1"/>
        <v>1.285714286</v>
      </c>
      <c r="Y247" s="9">
        <f t="shared" si="2"/>
        <v>32000</v>
      </c>
      <c r="Z247" s="8">
        <f t="shared" si="3"/>
        <v>4.651162791</v>
      </c>
      <c r="AA247" s="8">
        <f t="shared" si="4"/>
        <v>3.617571059</v>
      </c>
      <c r="AB247" s="8">
        <f t="shared" si="5"/>
        <v>0.1170542636</v>
      </c>
      <c r="AC247" s="8">
        <f t="shared" si="6"/>
        <v>25.35211268</v>
      </c>
      <c r="AD247" s="8">
        <f t="shared" si="7"/>
        <v>19.71830986</v>
      </c>
      <c r="AE247" s="8">
        <f t="shared" si="8"/>
        <v>0.638028169</v>
      </c>
      <c r="AF247" s="8" t="str">
        <f t="shared" si="9"/>
        <v>#DIV/0!</v>
      </c>
      <c r="AG247" s="8" t="str">
        <f t="shared" si="10"/>
        <v>#DIV/0!</v>
      </c>
      <c r="AH247" s="8" t="str">
        <f t="shared" si="11"/>
        <v>#DIV/0!</v>
      </c>
      <c r="AI247" s="10">
        <f t="shared" si="12"/>
        <v>1.765398195</v>
      </c>
      <c r="AJ247" s="11">
        <f t="shared" si="13"/>
        <v>1.373087485</v>
      </c>
      <c r="AK247" s="12">
        <f t="shared" si="14"/>
        <v>0.04442918792</v>
      </c>
    </row>
    <row r="248">
      <c r="A248" s="4" t="s">
        <v>302</v>
      </c>
      <c r="B248" s="4" t="s">
        <v>273</v>
      </c>
      <c r="C248" s="4" t="s">
        <v>82</v>
      </c>
      <c r="D248" s="6">
        <v>22111.0</v>
      </c>
      <c r="E248" s="6">
        <v>5264.0</v>
      </c>
      <c r="F248" s="6">
        <v>5264.0</v>
      </c>
      <c r="G248" s="6">
        <v>22111.0</v>
      </c>
      <c r="H248" s="6">
        <v>0.0</v>
      </c>
      <c r="I248" s="6">
        <v>965.0</v>
      </c>
      <c r="J248" s="6">
        <v>13863.0</v>
      </c>
      <c r="K248" s="6">
        <v>117.0</v>
      </c>
      <c r="L248" s="4" t="s">
        <v>133</v>
      </c>
      <c r="M248" s="6">
        <v>131000.0</v>
      </c>
      <c r="N248" s="6">
        <v>26000.0</v>
      </c>
      <c r="O248" s="6">
        <v>7000.0</v>
      </c>
      <c r="P248" s="6">
        <v>21000.0</v>
      </c>
      <c r="Q248" s="6">
        <v>6.0</v>
      </c>
      <c r="R248" s="6">
        <v>80.0</v>
      </c>
      <c r="S248" s="7"/>
      <c r="T248" s="6">
        <v>725.0</v>
      </c>
      <c r="U248" s="6">
        <v>89.0</v>
      </c>
      <c r="V248" s="5">
        <v>18.0</v>
      </c>
      <c r="W248" s="7"/>
      <c r="X248" s="8">
        <f t="shared" si="1"/>
        <v>1.238095238</v>
      </c>
      <c r="Y248" s="9">
        <f t="shared" si="2"/>
        <v>47000</v>
      </c>
      <c r="Z248" s="8">
        <f t="shared" si="3"/>
        <v>4.939209726</v>
      </c>
      <c r="AA248" s="8">
        <f t="shared" si="4"/>
        <v>3.989361702</v>
      </c>
      <c r="AB248" s="8">
        <f t="shared" si="5"/>
        <v>0.1377279635</v>
      </c>
      <c r="AC248" s="8">
        <f t="shared" si="6"/>
        <v>26.94300518</v>
      </c>
      <c r="AD248" s="8">
        <f t="shared" si="7"/>
        <v>21.76165803</v>
      </c>
      <c r="AE248" s="8">
        <f t="shared" si="8"/>
        <v>0.7512953368</v>
      </c>
      <c r="AF248" s="8" t="str">
        <f t="shared" si="9"/>
        <v>#DIV/0!</v>
      </c>
      <c r="AG248" s="8" t="str">
        <f t="shared" si="10"/>
        <v>#DIV/0!</v>
      </c>
      <c r="AH248" s="8" t="str">
        <f t="shared" si="11"/>
        <v>#DIV/0!</v>
      </c>
      <c r="AI248" s="10">
        <f t="shared" si="12"/>
        <v>1.875495924</v>
      </c>
      <c r="AJ248" s="11">
        <f t="shared" si="13"/>
        <v>1.514823631</v>
      </c>
      <c r="AK248" s="12">
        <f t="shared" si="14"/>
        <v>0.05229748251</v>
      </c>
    </row>
    <row r="249">
      <c r="A249" s="4" t="s">
        <v>303</v>
      </c>
      <c r="B249" s="4" t="s">
        <v>273</v>
      </c>
      <c r="C249" s="4" t="s">
        <v>91</v>
      </c>
      <c r="D249" s="6">
        <v>9584.0</v>
      </c>
      <c r="E249" s="6">
        <v>2282.0</v>
      </c>
      <c r="F249" s="6">
        <v>2282.0</v>
      </c>
      <c r="G249" s="6">
        <v>9584.0</v>
      </c>
      <c r="H249" s="6">
        <v>66.0</v>
      </c>
      <c r="I249" s="6">
        <v>418.0</v>
      </c>
      <c r="J249" s="6">
        <v>6009.0</v>
      </c>
      <c r="K249" s="6">
        <v>101.0</v>
      </c>
      <c r="L249" s="4" t="s">
        <v>133</v>
      </c>
      <c r="M249" s="6">
        <v>35000.0</v>
      </c>
      <c r="N249" s="6">
        <v>10000.0</v>
      </c>
      <c r="O249" s="6">
        <v>6000.0</v>
      </c>
      <c r="P249" s="6">
        <v>22000.0</v>
      </c>
      <c r="Q249" s="6">
        <v>6.0</v>
      </c>
      <c r="R249" s="6">
        <v>36.0</v>
      </c>
      <c r="S249" s="7"/>
      <c r="T249" s="6">
        <v>164.0</v>
      </c>
      <c r="U249" s="6">
        <v>187.0</v>
      </c>
      <c r="V249" s="7"/>
      <c r="W249" s="7"/>
      <c r="X249" s="8">
        <f t="shared" si="1"/>
        <v>0.4545454545</v>
      </c>
      <c r="Y249" s="9">
        <f t="shared" si="2"/>
        <v>32000</v>
      </c>
      <c r="Z249" s="8">
        <f t="shared" si="3"/>
        <v>4.382120947</v>
      </c>
      <c r="AA249" s="8">
        <f t="shared" si="4"/>
        <v>9.640666082</v>
      </c>
      <c r="AB249" s="8">
        <f t="shared" si="5"/>
        <v>0.07186678352</v>
      </c>
      <c r="AC249" s="8">
        <f t="shared" si="6"/>
        <v>23.92344498</v>
      </c>
      <c r="AD249" s="8">
        <f t="shared" si="7"/>
        <v>52.63157895</v>
      </c>
      <c r="AE249" s="8">
        <f t="shared" si="8"/>
        <v>0.3923444976</v>
      </c>
      <c r="AF249" s="8">
        <f t="shared" si="9"/>
        <v>151.5151515</v>
      </c>
      <c r="AG249" s="8">
        <f t="shared" si="10"/>
        <v>333.3333333</v>
      </c>
      <c r="AH249" s="8">
        <f t="shared" si="11"/>
        <v>2.484848485</v>
      </c>
      <c r="AI249" s="10">
        <f t="shared" si="12"/>
        <v>1.664170411</v>
      </c>
      <c r="AJ249" s="11">
        <f t="shared" si="13"/>
        <v>3.661174904</v>
      </c>
      <c r="AK249" s="12">
        <f t="shared" si="14"/>
        <v>0.02729239474</v>
      </c>
    </row>
    <row r="250">
      <c r="A250" s="4" t="s">
        <v>304</v>
      </c>
      <c r="B250" s="4" t="s">
        <v>273</v>
      </c>
      <c r="C250" s="4" t="s">
        <v>91</v>
      </c>
      <c r="D250" s="6">
        <v>8075.0</v>
      </c>
      <c r="E250" s="6">
        <v>1922.0</v>
      </c>
      <c r="F250" s="6">
        <v>1922.0</v>
      </c>
      <c r="G250" s="6">
        <v>8075.0</v>
      </c>
      <c r="H250" s="6">
        <v>43.0</v>
      </c>
      <c r="I250" s="6">
        <v>352.0</v>
      </c>
      <c r="J250" s="6">
        <v>5063.0</v>
      </c>
      <c r="K250" s="6">
        <v>75.0</v>
      </c>
      <c r="L250" s="4" t="s">
        <v>133</v>
      </c>
      <c r="M250" s="6">
        <v>21000.0</v>
      </c>
      <c r="N250" s="6">
        <v>6000.0</v>
      </c>
      <c r="O250" s="6">
        <v>2000.0</v>
      </c>
      <c r="P250" s="6">
        <v>14000.0</v>
      </c>
      <c r="Q250" s="6">
        <v>6.0</v>
      </c>
      <c r="R250" s="6">
        <v>56.0</v>
      </c>
      <c r="S250" s="7"/>
      <c r="T250" s="6">
        <v>255.0</v>
      </c>
      <c r="U250" s="6">
        <v>206.0</v>
      </c>
      <c r="V250" s="5">
        <v>10.0</v>
      </c>
      <c r="W250" s="7"/>
      <c r="X250" s="8">
        <f t="shared" si="1"/>
        <v>0.4285714286</v>
      </c>
      <c r="Y250" s="9">
        <f t="shared" si="2"/>
        <v>20000</v>
      </c>
      <c r="Z250" s="8">
        <f t="shared" si="3"/>
        <v>3.121748179</v>
      </c>
      <c r="AA250" s="8">
        <f t="shared" si="4"/>
        <v>7.284079084</v>
      </c>
      <c r="AB250" s="8">
        <f t="shared" si="5"/>
        <v>0.1326742976</v>
      </c>
      <c r="AC250" s="8">
        <f t="shared" si="6"/>
        <v>17.04545455</v>
      </c>
      <c r="AD250" s="8">
        <f t="shared" si="7"/>
        <v>39.77272727</v>
      </c>
      <c r="AE250" s="8">
        <f t="shared" si="8"/>
        <v>0.7244318182</v>
      </c>
      <c r="AF250" s="8">
        <f t="shared" si="9"/>
        <v>139.5348837</v>
      </c>
      <c r="AG250" s="8">
        <f t="shared" si="10"/>
        <v>325.5813953</v>
      </c>
      <c r="AH250" s="8">
        <f t="shared" si="11"/>
        <v>5.930232558</v>
      </c>
      <c r="AI250" s="10">
        <f t="shared" si="12"/>
        <v>1.185068141</v>
      </c>
      <c r="AJ250" s="11">
        <f t="shared" si="13"/>
        <v>2.765158997</v>
      </c>
      <c r="AK250" s="12">
        <f t="shared" si="14"/>
        <v>0.05036539601</v>
      </c>
    </row>
    <row r="251">
      <c r="A251" s="4" t="s">
        <v>305</v>
      </c>
      <c r="B251" s="4" t="s">
        <v>273</v>
      </c>
      <c r="C251" s="4" t="s">
        <v>56</v>
      </c>
      <c r="D251" s="6">
        <v>9085.0</v>
      </c>
      <c r="E251" s="6">
        <v>2163.0</v>
      </c>
      <c r="F251" s="6">
        <v>2163.0</v>
      </c>
      <c r="G251" s="6">
        <v>9085.0</v>
      </c>
      <c r="H251" s="6">
        <v>39.0</v>
      </c>
      <c r="I251" s="6">
        <v>409.0</v>
      </c>
      <c r="J251" s="6">
        <v>5873.0</v>
      </c>
      <c r="K251" s="6">
        <v>122.0</v>
      </c>
      <c r="L251" s="4" t="s">
        <v>133</v>
      </c>
      <c r="M251" s="6">
        <v>17000.0</v>
      </c>
      <c r="N251" s="6">
        <v>10000.0</v>
      </c>
      <c r="O251" s="6">
        <v>4000.0</v>
      </c>
      <c r="P251" s="6">
        <v>9000.0</v>
      </c>
      <c r="Q251" s="6">
        <v>6.0</v>
      </c>
      <c r="R251" s="6">
        <v>28.0</v>
      </c>
      <c r="S251" s="7"/>
      <c r="T251" s="6">
        <v>131.0</v>
      </c>
      <c r="U251" s="6">
        <v>215.0</v>
      </c>
      <c r="V251" s="7"/>
      <c r="W251" s="7"/>
      <c r="X251" s="8">
        <f t="shared" si="1"/>
        <v>1.111111111</v>
      </c>
      <c r="Y251" s="9">
        <f t="shared" si="2"/>
        <v>19000</v>
      </c>
      <c r="Z251" s="8">
        <f t="shared" si="3"/>
        <v>4.623208507</v>
      </c>
      <c r="AA251" s="8">
        <f t="shared" si="4"/>
        <v>4.160887656</v>
      </c>
      <c r="AB251" s="8">
        <f t="shared" si="5"/>
        <v>0.06056403144</v>
      </c>
      <c r="AC251" s="8">
        <f t="shared" si="6"/>
        <v>24.44987775</v>
      </c>
      <c r="AD251" s="8">
        <f t="shared" si="7"/>
        <v>22.00488998</v>
      </c>
      <c r="AE251" s="8">
        <f t="shared" si="8"/>
        <v>0.3202933985</v>
      </c>
      <c r="AF251" s="8">
        <f t="shared" si="9"/>
        <v>256.4102564</v>
      </c>
      <c r="AG251" s="8">
        <f t="shared" si="10"/>
        <v>230.7692308</v>
      </c>
      <c r="AH251" s="8">
        <f t="shared" si="11"/>
        <v>3.358974359</v>
      </c>
      <c r="AI251" s="10">
        <f t="shared" si="12"/>
        <v>1.702707305</v>
      </c>
      <c r="AJ251" s="11">
        <f t="shared" si="13"/>
        <v>1.532436574</v>
      </c>
      <c r="AK251" s="12">
        <f t="shared" si="14"/>
        <v>0.02230546569</v>
      </c>
    </row>
    <row r="252">
      <c r="A252" s="4" t="s">
        <v>306</v>
      </c>
      <c r="B252" s="4" t="s">
        <v>273</v>
      </c>
      <c r="C252" s="4" t="s">
        <v>64</v>
      </c>
      <c r="D252" s="6">
        <v>10229.0</v>
      </c>
      <c r="E252" s="6">
        <v>2434.0</v>
      </c>
      <c r="F252" s="6">
        <v>2434.0</v>
      </c>
      <c r="G252" s="6">
        <v>10229.0</v>
      </c>
      <c r="H252" s="6">
        <v>47.0</v>
      </c>
      <c r="I252" s="6">
        <v>446.0</v>
      </c>
      <c r="J252" s="6">
        <v>6413.0</v>
      </c>
      <c r="K252" s="6">
        <v>84.0</v>
      </c>
      <c r="L252" s="4" t="s">
        <v>133</v>
      </c>
      <c r="M252" s="6">
        <v>23000.0</v>
      </c>
      <c r="N252" s="6">
        <v>12000.0</v>
      </c>
      <c r="O252" s="6">
        <v>6000.0</v>
      </c>
      <c r="P252" s="6">
        <v>14000.0</v>
      </c>
      <c r="Q252" s="6">
        <v>6.0</v>
      </c>
      <c r="R252" s="6">
        <v>38.0</v>
      </c>
      <c r="S252" s="7"/>
      <c r="T252" s="6">
        <v>231.0</v>
      </c>
      <c r="U252" s="6">
        <v>168.0</v>
      </c>
      <c r="V252" s="7"/>
      <c r="W252" s="7"/>
      <c r="X252" s="8">
        <f t="shared" si="1"/>
        <v>0.8571428571</v>
      </c>
      <c r="Y252" s="9">
        <f t="shared" si="2"/>
        <v>26000</v>
      </c>
      <c r="Z252" s="8">
        <f t="shared" si="3"/>
        <v>4.930156122</v>
      </c>
      <c r="AA252" s="8">
        <f t="shared" si="4"/>
        <v>5.751848809</v>
      </c>
      <c r="AB252" s="8">
        <f t="shared" si="5"/>
        <v>0.09490550534</v>
      </c>
      <c r="AC252" s="8">
        <f t="shared" si="6"/>
        <v>26.9058296</v>
      </c>
      <c r="AD252" s="8">
        <f t="shared" si="7"/>
        <v>31.39013453</v>
      </c>
      <c r="AE252" s="8">
        <f t="shared" si="8"/>
        <v>0.5179372197</v>
      </c>
      <c r="AF252" s="8">
        <f t="shared" si="9"/>
        <v>255.3191489</v>
      </c>
      <c r="AG252" s="8">
        <f t="shared" si="10"/>
        <v>297.8723404</v>
      </c>
      <c r="AH252" s="8">
        <f t="shared" si="11"/>
        <v>4.914893617</v>
      </c>
      <c r="AI252" s="10">
        <f t="shared" si="12"/>
        <v>1.871199127</v>
      </c>
      <c r="AJ252" s="11">
        <f t="shared" si="13"/>
        <v>2.183065648</v>
      </c>
      <c r="AK252" s="12">
        <f t="shared" si="14"/>
        <v>0.03602058319</v>
      </c>
    </row>
    <row r="253">
      <c r="A253" s="4" t="s">
        <v>307</v>
      </c>
      <c r="B253" s="4" t="s">
        <v>273</v>
      </c>
      <c r="C253" s="4" t="s">
        <v>49</v>
      </c>
      <c r="D253" s="6">
        <v>11874.0</v>
      </c>
      <c r="E253" s="6">
        <v>2827.0</v>
      </c>
      <c r="F253" s="6">
        <v>2827.0</v>
      </c>
      <c r="G253" s="6">
        <v>11874.0</v>
      </c>
      <c r="H253" s="6">
        <v>28.0</v>
      </c>
      <c r="I253" s="6">
        <v>518.0</v>
      </c>
      <c r="J253" s="6">
        <v>7444.0</v>
      </c>
      <c r="K253" s="6">
        <v>84.0</v>
      </c>
      <c r="L253" s="4" t="s">
        <v>133</v>
      </c>
      <c r="M253" s="6">
        <v>14000.0</v>
      </c>
      <c r="N253" s="6">
        <v>12000.0</v>
      </c>
      <c r="O253" s="6">
        <v>7000.0</v>
      </c>
      <c r="P253" s="6">
        <v>6000.0</v>
      </c>
      <c r="Q253" s="6">
        <v>6.0</v>
      </c>
      <c r="R253" s="6">
        <v>38.0</v>
      </c>
      <c r="S253" s="7"/>
      <c r="T253" s="6">
        <v>235.0</v>
      </c>
      <c r="U253" s="6">
        <v>206.0</v>
      </c>
      <c r="V253" s="7"/>
      <c r="W253" s="7"/>
      <c r="X253" s="8">
        <f t="shared" si="1"/>
        <v>2</v>
      </c>
      <c r="Y253" s="9">
        <f t="shared" si="2"/>
        <v>18000</v>
      </c>
      <c r="Z253" s="8">
        <f t="shared" si="3"/>
        <v>4.244782455</v>
      </c>
      <c r="AA253" s="8">
        <f t="shared" si="4"/>
        <v>2.122391227</v>
      </c>
      <c r="AB253" s="8">
        <f t="shared" si="5"/>
        <v>0.08312698974</v>
      </c>
      <c r="AC253" s="8">
        <f t="shared" si="6"/>
        <v>23.16602317</v>
      </c>
      <c r="AD253" s="8">
        <f t="shared" si="7"/>
        <v>11.58301158</v>
      </c>
      <c r="AE253" s="8">
        <f t="shared" si="8"/>
        <v>0.4536679537</v>
      </c>
      <c r="AF253" s="8">
        <f t="shared" si="9"/>
        <v>428.5714286</v>
      </c>
      <c r="AG253" s="8">
        <f t="shared" si="10"/>
        <v>214.2857143</v>
      </c>
      <c r="AH253" s="8">
        <f t="shared" si="11"/>
        <v>8.392857143</v>
      </c>
      <c r="AI253" s="10">
        <f t="shared" si="12"/>
        <v>1.612036539</v>
      </c>
      <c r="AJ253" s="11">
        <f t="shared" si="13"/>
        <v>0.8060182697</v>
      </c>
      <c r="AK253" s="12">
        <f t="shared" si="14"/>
        <v>0.0315690489</v>
      </c>
    </row>
    <row r="254">
      <c r="A254" s="4" t="s">
        <v>308</v>
      </c>
      <c r="B254" s="4" t="s">
        <v>273</v>
      </c>
      <c r="C254" s="4" t="s">
        <v>168</v>
      </c>
      <c r="D254" s="6">
        <v>2533.0</v>
      </c>
      <c r="E254" s="6">
        <v>1206.0</v>
      </c>
      <c r="F254" s="6">
        <v>2412.0</v>
      </c>
      <c r="G254" s="6">
        <v>2533.0</v>
      </c>
      <c r="H254" s="6">
        <v>0.0</v>
      </c>
      <c r="I254" s="6">
        <v>331.0</v>
      </c>
      <c r="J254" s="6">
        <v>3176.0</v>
      </c>
      <c r="K254" s="6">
        <v>139.0</v>
      </c>
      <c r="L254" s="4" t="s">
        <v>133</v>
      </c>
      <c r="M254" s="6">
        <v>28000.0</v>
      </c>
      <c r="N254" s="6">
        <v>24000.0</v>
      </c>
      <c r="O254" s="6">
        <v>10000.0</v>
      </c>
      <c r="P254" s="6">
        <v>25000.0</v>
      </c>
      <c r="Q254" s="6">
        <v>6.0</v>
      </c>
      <c r="R254" s="6">
        <v>60.0</v>
      </c>
      <c r="S254" s="7"/>
      <c r="T254" s="6">
        <v>282.0</v>
      </c>
      <c r="U254" s="6">
        <v>93.0</v>
      </c>
      <c r="V254" s="5">
        <v>18.0</v>
      </c>
      <c r="W254" s="7"/>
      <c r="X254" s="8">
        <f t="shared" si="1"/>
        <v>0.96</v>
      </c>
      <c r="Y254" s="9">
        <f t="shared" si="2"/>
        <v>49000</v>
      </c>
      <c r="Z254" s="8">
        <f t="shared" si="3"/>
        <v>19.90049751</v>
      </c>
      <c r="AA254" s="8">
        <f t="shared" si="4"/>
        <v>20.72968491</v>
      </c>
      <c r="AB254" s="8">
        <f t="shared" si="5"/>
        <v>0.2338308458</v>
      </c>
      <c r="AC254" s="8">
        <f t="shared" si="6"/>
        <v>72.50755287</v>
      </c>
      <c r="AD254" s="8">
        <f t="shared" si="7"/>
        <v>75.52870091</v>
      </c>
      <c r="AE254" s="8">
        <f t="shared" si="8"/>
        <v>0.8519637462</v>
      </c>
      <c r="AF254" s="8" t="str">
        <f t="shared" si="9"/>
        <v>#DIV/0!</v>
      </c>
      <c r="AG254" s="8" t="str">
        <f t="shared" si="10"/>
        <v>#DIV/0!</v>
      </c>
      <c r="AH254" s="8" t="str">
        <f t="shared" si="11"/>
        <v>#DIV/0!</v>
      </c>
      <c r="AI254" s="10">
        <f t="shared" si="12"/>
        <v>7.556675063</v>
      </c>
      <c r="AJ254" s="11">
        <f t="shared" si="13"/>
        <v>7.871536524</v>
      </c>
      <c r="AK254" s="12">
        <f t="shared" si="14"/>
        <v>0.08879093199</v>
      </c>
    </row>
    <row r="255">
      <c r="A255" s="4" t="s">
        <v>309</v>
      </c>
      <c r="B255" s="4" t="s">
        <v>273</v>
      </c>
      <c r="C255" s="4" t="s">
        <v>56</v>
      </c>
      <c r="D255" s="6">
        <v>11307.0</v>
      </c>
      <c r="E255" s="6">
        <v>2690.0</v>
      </c>
      <c r="F255" s="6">
        <v>2690.0</v>
      </c>
      <c r="G255" s="6">
        <v>11307.0</v>
      </c>
      <c r="H255" s="6">
        <v>52.0</v>
      </c>
      <c r="I255" s="6">
        <v>508.0</v>
      </c>
      <c r="J255" s="6">
        <v>7308.0</v>
      </c>
      <c r="K255" s="6">
        <v>140.0</v>
      </c>
      <c r="L255" s="4" t="s">
        <v>133</v>
      </c>
      <c r="M255" s="6">
        <v>21000.0</v>
      </c>
      <c r="N255" s="6">
        <v>12000.0</v>
      </c>
      <c r="O255" s="6">
        <v>6000.0</v>
      </c>
      <c r="P255" s="6">
        <v>14000.0</v>
      </c>
      <c r="Q255" s="6">
        <v>6.0</v>
      </c>
      <c r="R255" s="6">
        <v>46.0</v>
      </c>
      <c r="S255" s="7"/>
      <c r="T255" s="6">
        <v>215.0</v>
      </c>
      <c r="U255" s="6">
        <v>168.0</v>
      </c>
      <c r="V255" s="5">
        <v>10.0</v>
      </c>
      <c r="W255" s="7"/>
      <c r="X255" s="8">
        <f t="shared" si="1"/>
        <v>0.8571428571</v>
      </c>
      <c r="Y255" s="9">
        <f t="shared" si="2"/>
        <v>26000</v>
      </c>
      <c r="Z255" s="8">
        <f t="shared" si="3"/>
        <v>4.460966543</v>
      </c>
      <c r="AA255" s="8">
        <f t="shared" si="4"/>
        <v>5.204460967</v>
      </c>
      <c r="AB255" s="8">
        <f t="shared" si="5"/>
        <v>0.07992565056</v>
      </c>
      <c r="AC255" s="8">
        <f t="shared" si="6"/>
        <v>23.62204724</v>
      </c>
      <c r="AD255" s="8">
        <f t="shared" si="7"/>
        <v>27.55905512</v>
      </c>
      <c r="AE255" s="8">
        <f t="shared" si="8"/>
        <v>0.4232283465</v>
      </c>
      <c r="AF255" s="8">
        <f t="shared" si="9"/>
        <v>230.7692308</v>
      </c>
      <c r="AG255" s="8">
        <f t="shared" si="10"/>
        <v>269.2307692</v>
      </c>
      <c r="AH255" s="8">
        <f t="shared" si="11"/>
        <v>4.134615385</v>
      </c>
      <c r="AI255" s="10">
        <f t="shared" si="12"/>
        <v>1.642036125</v>
      </c>
      <c r="AJ255" s="11">
        <f t="shared" si="13"/>
        <v>1.915708812</v>
      </c>
      <c r="AK255" s="12">
        <f t="shared" si="14"/>
        <v>0.0294198139</v>
      </c>
    </row>
    <row r="256">
      <c r="A256" s="4" t="s">
        <v>310</v>
      </c>
      <c r="B256" s="4" t="s">
        <v>273</v>
      </c>
      <c r="C256" s="4" t="s">
        <v>73</v>
      </c>
      <c r="D256" s="6">
        <v>8794.0</v>
      </c>
      <c r="E256" s="6">
        <v>2092.0</v>
      </c>
      <c r="F256" s="6">
        <v>2092.0</v>
      </c>
      <c r="G256" s="6">
        <v>8794.0</v>
      </c>
      <c r="H256" s="6">
        <v>30.0</v>
      </c>
      <c r="I256" s="6">
        <v>384.0</v>
      </c>
      <c r="J256" s="6">
        <v>4085.0</v>
      </c>
      <c r="K256" s="6">
        <v>110.0</v>
      </c>
      <c r="L256" s="4" t="s">
        <v>133</v>
      </c>
      <c r="M256" s="6">
        <v>16000.0</v>
      </c>
      <c r="N256" s="6">
        <v>10000.0</v>
      </c>
      <c r="O256" s="6">
        <v>4000.0</v>
      </c>
      <c r="P256" s="6">
        <v>9000.0</v>
      </c>
      <c r="Q256" s="6">
        <v>6.0</v>
      </c>
      <c r="R256" s="6">
        <v>36.0</v>
      </c>
      <c r="S256" s="7"/>
      <c r="T256" s="6">
        <v>143.0</v>
      </c>
      <c r="U256" s="6">
        <v>168.0</v>
      </c>
      <c r="V256" s="7"/>
      <c r="W256" s="7"/>
      <c r="X256" s="8">
        <f t="shared" si="1"/>
        <v>1.111111111</v>
      </c>
      <c r="Y256" s="9">
        <f t="shared" si="2"/>
        <v>19000</v>
      </c>
      <c r="Z256" s="8">
        <f t="shared" si="3"/>
        <v>4.780114723</v>
      </c>
      <c r="AA256" s="8">
        <f t="shared" si="4"/>
        <v>4.30210325</v>
      </c>
      <c r="AB256" s="8">
        <f t="shared" si="5"/>
        <v>0.06835564054</v>
      </c>
      <c r="AC256" s="8">
        <f t="shared" si="6"/>
        <v>26.04166667</v>
      </c>
      <c r="AD256" s="8">
        <f t="shared" si="7"/>
        <v>23.4375</v>
      </c>
      <c r="AE256" s="8">
        <f t="shared" si="8"/>
        <v>0.3723958333</v>
      </c>
      <c r="AF256" s="8">
        <f t="shared" si="9"/>
        <v>333.3333333</v>
      </c>
      <c r="AG256" s="8">
        <f t="shared" si="10"/>
        <v>300</v>
      </c>
      <c r="AH256" s="8">
        <f t="shared" si="11"/>
        <v>4.766666667</v>
      </c>
      <c r="AI256" s="10">
        <f t="shared" si="12"/>
        <v>2.447980416</v>
      </c>
      <c r="AJ256" s="11">
        <f t="shared" si="13"/>
        <v>2.203182375</v>
      </c>
      <c r="AK256" s="12">
        <f t="shared" si="14"/>
        <v>0.03500611995</v>
      </c>
    </row>
    <row r="257">
      <c r="A257" s="4" t="s">
        <v>311</v>
      </c>
      <c r="B257" s="4" t="s">
        <v>273</v>
      </c>
      <c r="C257" s="4" t="s">
        <v>49</v>
      </c>
      <c r="D257" s="6">
        <v>31005.0</v>
      </c>
      <c r="E257" s="6">
        <v>7382.0</v>
      </c>
      <c r="F257" s="6">
        <v>7382.0</v>
      </c>
      <c r="G257" s="6">
        <v>31005.0</v>
      </c>
      <c r="H257" s="6">
        <v>75.0</v>
      </c>
      <c r="I257" s="6">
        <v>1353.0</v>
      </c>
      <c r="J257" s="6">
        <v>19442.0</v>
      </c>
      <c r="K257" s="6">
        <v>104.0</v>
      </c>
      <c r="L257" s="4" t="s">
        <v>133</v>
      </c>
      <c r="M257" s="6">
        <v>38000.0</v>
      </c>
      <c r="N257" s="6">
        <v>30000.0</v>
      </c>
      <c r="O257" s="6">
        <v>18000.0</v>
      </c>
      <c r="P257" s="6">
        <v>29000.0</v>
      </c>
      <c r="Q257" s="6">
        <v>6.0</v>
      </c>
      <c r="R257" s="6">
        <v>72.0</v>
      </c>
      <c r="S257" s="7"/>
      <c r="T257" s="6">
        <v>652.0</v>
      </c>
      <c r="U257" s="6">
        <v>187.0</v>
      </c>
      <c r="V257" s="7"/>
      <c r="W257" s="7"/>
      <c r="X257" s="8">
        <f t="shared" si="1"/>
        <v>1.034482759</v>
      </c>
      <c r="Y257" s="9">
        <f t="shared" si="2"/>
        <v>59000</v>
      </c>
      <c r="Z257" s="8">
        <f t="shared" si="3"/>
        <v>4.063939312</v>
      </c>
      <c r="AA257" s="8">
        <f t="shared" si="4"/>
        <v>3.928474668</v>
      </c>
      <c r="AB257" s="8">
        <f t="shared" si="5"/>
        <v>0.08832294771</v>
      </c>
      <c r="AC257" s="8">
        <f t="shared" si="6"/>
        <v>22.172949</v>
      </c>
      <c r="AD257" s="8">
        <f t="shared" si="7"/>
        <v>21.4338507</v>
      </c>
      <c r="AE257" s="8">
        <f t="shared" si="8"/>
        <v>0.4818920916</v>
      </c>
      <c r="AF257" s="8">
        <f t="shared" si="9"/>
        <v>400</v>
      </c>
      <c r="AG257" s="8">
        <f t="shared" si="10"/>
        <v>386.6666667</v>
      </c>
      <c r="AH257" s="8">
        <f t="shared" si="11"/>
        <v>8.693333333</v>
      </c>
      <c r="AI257" s="10">
        <f t="shared" si="12"/>
        <v>1.543051126</v>
      </c>
      <c r="AJ257" s="11">
        <f t="shared" si="13"/>
        <v>1.491616089</v>
      </c>
      <c r="AK257" s="12">
        <f t="shared" si="14"/>
        <v>0.03353564448</v>
      </c>
    </row>
    <row r="258">
      <c r="A258" s="4" t="s">
        <v>312</v>
      </c>
      <c r="B258" s="4" t="s">
        <v>273</v>
      </c>
      <c r="C258" s="4" t="s">
        <v>49</v>
      </c>
      <c r="D258" s="6">
        <v>15742.0</v>
      </c>
      <c r="E258" s="6">
        <v>3747.0</v>
      </c>
      <c r="F258" s="6">
        <v>3747.0</v>
      </c>
      <c r="G258" s="6">
        <v>15742.0</v>
      </c>
      <c r="H258" s="6">
        <v>30.0</v>
      </c>
      <c r="I258" s="6">
        <v>687.0</v>
      </c>
      <c r="J258" s="6">
        <v>9871.0</v>
      </c>
      <c r="K258" s="6">
        <v>96.0</v>
      </c>
      <c r="L258" s="4" t="s">
        <v>133</v>
      </c>
      <c r="M258" s="6">
        <v>15000.0</v>
      </c>
      <c r="N258" s="6">
        <v>16000.0</v>
      </c>
      <c r="O258" s="6">
        <v>6000.0</v>
      </c>
      <c r="P258" s="6">
        <v>9000.0</v>
      </c>
      <c r="Q258" s="6">
        <v>6.0</v>
      </c>
      <c r="R258" s="6">
        <v>56.0</v>
      </c>
      <c r="S258" s="7"/>
      <c r="T258" s="6">
        <v>507.0</v>
      </c>
      <c r="U258" s="6">
        <v>215.0</v>
      </c>
      <c r="V258" s="7"/>
      <c r="W258" s="7"/>
      <c r="X258" s="8">
        <f t="shared" si="1"/>
        <v>1.777777778</v>
      </c>
      <c r="Y258" s="9">
        <f t="shared" si="2"/>
        <v>25000</v>
      </c>
      <c r="Z258" s="8">
        <f t="shared" si="3"/>
        <v>4.270082733</v>
      </c>
      <c r="AA258" s="8">
        <f t="shared" si="4"/>
        <v>2.401921537</v>
      </c>
      <c r="AB258" s="8">
        <f t="shared" si="5"/>
        <v>0.1353082466</v>
      </c>
      <c r="AC258" s="8">
        <f t="shared" si="6"/>
        <v>23.28966521</v>
      </c>
      <c r="AD258" s="8">
        <f t="shared" si="7"/>
        <v>13.10043668</v>
      </c>
      <c r="AE258" s="8">
        <f t="shared" si="8"/>
        <v>0.7379912664</v>
      </c>
      <c r="AF258" s="8">
        <f t="shared" si="9"/>
        <v>533.3333333</v>
      </c>
      <c r="AG258" s="8">
        <f t="shared" si="10"/>
        <v>300</v>
      </c>
      <c r="AH258" s="8">
        <f t="shared" si="11"/>
        <v>16.9</v>
      </c>
      <c r="AI258" s="10">
        <f t="shared" si="12"/>
        <v>1.620909736</v>
      </c>
      <c r="AJ258" s="11">
        <f t="shared" si="13"/>
        <v>0.9117617263</v>
      </c>
      <c r="AK258" s="12">
        <f t="shared" si="14"/>
        <v>0.05136257725</v>
      </c>
    </row>
    <row r="259">
      <c r="A259" s="4" t="s">
        <v>313</v>
      </c>
      <c r="B259" s="4" t="s">
        <v>273</v>
      </c>
      <c r="C259" s="4" t="s">
        <v>168</v>
      </c>
      <c r="D259" s="6">
        <v>2375.0</v>
      </c>
      <c r="E259" s="6">
        <v>1130.0</v>
      </c>
      <c r="F259" s="6">
        <v>2260.0</v>
      </c>
      <c r="G259" s="6">
        <v>2375.0</v>
      </c>
      <c r="H259" s="6">
        <v>0.0</v>
      </c>
      <c r="I259" s="6">
        <v>311.0</v>
      </c>
      <c r="J259" s="6">
        <v>2977.0</v>
      </c>
      <c r="K259" s="6">
        <v>139.0</v>
      </c>
      <c r="L259" s="4" t="s">
        <v>133</v>
      </c>
      <c r="M259" s="6">
        <v>26000.0</v>
      </c>
      <c r="N259" s="6">
        <v>20000.0</v>
      </c>
      <c r="O259" s="6">
        <v>12000.0</v>
      </c>
      <c r="P259" s="6">
        <v>19000.0</v>
      </c>
      <c r="Q259" s="6">
        <v>6.0</v>
      </c>
      <c r="R259" s="6">
        <v>62.0</v>
      </c>
      <c r="S259" s="7"/>
      <c r="T259" s="6">
        <v>291.0</v>
      </c>
      <c r="U259" s="6">
        <v>93.0</v>
      </c>
      <c r="V259" s="5">
        <v>6.0</v>
      </c>
      <c r="W259" s="7"/>
      <c r="X259" s="8">
        <f t="shared" si="1"/>
        <v>1.052631579</v>
      </c>
      <c r="Y259" s="9">
        <f t="shared" si="2"/>
        <v>39000</v>
      </c>
      <c r="Z259" s="8">
        <f t="shared" si="3"/>
        <v>17.69911504</v>
      </c>
      <c r="AA259" s="8">
        <f t="shared" si="4"/>
        <v>16.81415929</v>
      </c>
      <c r="AB259" s="8">
        <f t="shared" si="5"/>
        <v>0.2575221239</v>
      </c>
      <c r="AC259" s="8">
        <f t="shared" si="6"/>
        <v>64.30868167</v>
      </c>
      <c r="AD259" s="8">
        <f t="shared" si="7"/>
        <v>61.09324759</v>
      </c>
      <c r="AE259" s="8">
        <f t="shared" si="8"/>
        <v>0.9356913183</v>
      </c>
      <c r="AF259" s="8" t="str">
        <f t="shared" si="9"/>
        <v>#DIV/0!</v>
      </c>
      <c r="AG259" s="8" t="str">
        <f t="shared" si="10"/>
        <v>#DIV/0!</v>
      </c>
      <c r="AH259" s="8" t="str">
        <f t="shared" si="11"/>
        <v>#DIV/0!</v>
      </c>
      <c r="AI259" s="10">
        <f t="shared" si="12"/>
        <v>6.718172657</v>
      </c>
      <c r="AJ259" s="11">
        <f t="shared" si="13"/>
        <v>6.382264024</v>
      </c>
      <c r="AK259" s="12">
        <f t="shared" si="14"/>
        <v>0.09774941216</v>
      </c>
    </row>
    <row r="260">
      <c r="A260" s="4" t="s">
        <v>314</v>
      </c>
      <c r="B260" s="4" t="s">
        <v>273</v>
      </c>
      <c r="C260" s="4" t="s">
        <v>49</v>
      </c>
      <c r="D260" s="6">
        <v>28152.0</v>
      </c>
      <c r="E260" s="6">
        <v>6703.0</v>
      </c>
      <c r="F260" s="6">
        <v>6703.0</v>
      </c>
      <c r="G260" s="6">
        <v>28152.0</v>
      </c>
      <c r="H260" s="6">
        <v>68.0</v>
      </c>
      <c r="I260" s="6">
        <v>1229.0</v>
      </c>
      <c r="J260" s="6">
        <v>17651.0</v>
      </c>
      <c r="K260" s="6">
        <v>121.0</v>
      </c>
      <c r="L260" s="4" t="s">
        <v>133</v>
      </c>
      <c r="M260" s="6">
        <v>34000.0</v>
      </c>
      <c r="N260" s="6">
        <v>28000.0</v>
      </c>
      <c r="O260" s="6">
        <v>11000.0</v>
      </c>
      <c r="P260" s="6">
        <v>22000.0</v>
      </c>
      <c r="Q260" s="6">
        <v>6.0</v>
      </c>
      <c r="R260" s="6">
        <v>68.0</v>
      </c>
      <c r="S260" s="7"/>
      <c r="T260" s="6">
        <v>616.0</v>
      </c>
      <c r="U260" s="6">
        <v>149.0</v>
      </c>
      <c r="V260" s="5">
        <v>60.0</v>
      </c>
      <c r="W260" s="5">
        <v>10.0</v>
      </c>
      <c r="X260" s="8">
        <f t="shared" si="1"/>
        <v>1.272727273</v>
      </c>
      <c r="Y260" s="9">
        <f t="shared" si="2"/>
        <v>50000</v>
      </c>
      <c r="Z260" s="8">
        <f t="shared" si="3"/>
        <v>4.177234074</v>
      </c>
      <c r="AA260" s="8">
        <f t="shared" si="4"/>
        <v>3.282112487</v>
      </c>
      <c r="AB260" s="8">
        <f t="shared" si="5"/>
        <v>0.09189914963</v>
      </c>
      <c r="AC260" s="8">
        <f t="shared" si="6"/>
        <v>22.7827502</v>
      </c>
      <c r="AD260" s="8">
        <f t="shared" si="7"/>
        <v>17.9007323</v>
      </c>
      <c r="AE260" s="8">
        <f t="shared" si="8"/>
        <v>0.5012205045</v>
      </c>
      <c r="AF260" s="8">
        <f t="shared" si="9"/>
        <v>411.7647059</v>
      </c>
      <c r="AG260" s="8">
        <f t="shared" si="10"/>
        <v>323.5294118</v>
      </c>
      <c r="AH260" s="8">
        <f t="shared" si="11"/>
        <v>9.058823529</v>
      </c>
      <c r="AI260" s="10">
        <f t="shared" si="12"/>
        <v>1.58631239</v>
      </c>
      <c r="AJ260" s="11">
        <f t="shared" si="13"/>
        <v>1.246388307</v>
      </c>
      <c r="AK260" s="12">
        <f t="shared" si="14"/>
        <v>0.03489887259</v>
      </c>
    </row>
    <row r="261">
      <c r="A261" s="4" t="s">
        <v>315</v>
      </c>
      <c r="B261" s="4" t="s">
        <v>273</v>
      </c>
      <c r="C261" s="4" t="s">
        <v>70</v>
      </c>
      <c r="D261" s="6">
        <v>10699.0</v>
      </c>
      <c r="E261" s="6">
        <v>5095.0</v>
      </c>
      <c r="F261" s="6">
        <v>2549.0</v>
      </c>
      <c r="G261" s="6">
        <v>42798.0</v>
      </c>
      <c r="H261" s="6">
        <v>0.0</v>
      </c>
      <c r="I261" s="6">
        <v>700.0</v>
      </c>
      <c r="J261" s="6">
        <v>13418.0</v>
      </c>
      <c r="K261" s="6">
        <v>110.0</v>
      </c>
      <c r="L261" s="4" t="s">
        <v>133</v>
      </c>
      <c r="M261" s="6">
        <v>24000.0</v>
      </c>
      <c r="N261" s="6">
        <v>28000.0</v>
      </c>
      <c r="O261" s="6">
        <v>5000.0</v>
      </c>
      <c r="P261" s="6">
        <v>15000.0</v>
      </c>
      <c r="Q261" s="6">
        <v>6.0</v>
      </c>
      <c r="R261" s="6">
        <v>64.0</v>
      </c>
      <c r="S261" s="7"/>
      <c r="T261" s="6">
        <v>580.0</v>
      </c>
      <c r="U261" s="6">
        <v>168.0</v>
      </c>
      <c r="V261" s="5">
        <v>10.0</v>
      </c>
      <c r="W261" s="7"/>
      <c r="X261" s="8">
        <f t="shared" si="1"/>
        <v>1.866666667</v>
      </c>
      <c r="Y261" s="9">
        <f t="shared" si="2"/>
        <v>43000</v>
      </c>
      <c r="Z261" s="8">
        <f t="shared" si="3"/>
        <v>5.495583906</v>
      </c>
      <c r="AA261" s="8">
        <f t="shared" si="4"/>
        <v>2.944062807</v>
      </c>
      <c r="AB261" s="8">
        <f t="shared" si="5"/>
        <v>0.1138370952</v>
      </c>
      <c r="AC261" s="8">
        <f t="shared" si="6"/>
        <v>40</v>
      </c>
      <c r="AD261" s="8">
        <f t="shared" si="7"/>
        <v>21.42857143</v>
      </c>
      <c r="AE261" s="8">
        <f t="shared" si="8"/>
        <v>0.8285714286</v>
      </c>
      <c r="AF261" s="8" t="str">
        <f t="shared" si="9"/>
        <v>#DIV/0!</v>
      </c>
      <c r="AG261" s="8" t="str">
        <f t="shared" si="10"/>
        <v>#DIV/0!</v>
      </c>
      <c r="AH261" s="8" t="str">
        <f t="shared" si="11"/>
        <v>#DIV/0!</v>
      </c>
      <c r="AI261" s="10">
        <f t="shared" si="12"/>
        <v>2.086749143</v>
      </c>
      <c r="AJ261" s="11">
        <f t="shared" si="13"/>
        <v>1.117901327</v>
      </c>
      <c r="AK261" s="12">
        <f t="shared" si="14"/>
        <v>0.04322551796</v>
      </c>
    </row>
    <row r="262">
      <c r="A262" s="4" t="s">
        <v>316</v>
      </c>
      <c r="B262" s="4" t="s">
        <v>317</v>
      </c>
      <c r="C262" s="4" t="s">
        <v>168</v>
      </c>
      <c r="D262" s="6">
        <v>1409.0</v>
      </c>
      <c r="E262" s="6">
        <v>670.0</v>
      </c>
      <c r="F262" s="6">
        <v>1340.0</v>
      </c>
      <c r="G262" s="6">
        <v>1409.0</v>
      </c>
      <c r="H262" s="6">
        <v>0.0</v>
      </c>
      <c r="I262" s="6">
        <v>184.0</v>
      </c>
      <c r="J262" s="6">
        <v>1767.0</v>
      </c>
      <c r="K262" s="6">
        <v>121.0</v>
      </c>
      <c r="L262" s="4" t="s">
        <v>133</v>
      </c>
      <c r="M262" s="6">
        <v>31000.0</v>
      </c>
      <c r="N262" s="6">
        <v>12000.0</v>
      </c>
      <c r="O262" s="6">
        <v>6000.0</v>
      </c>
      <c r="P262" s="6">
        <v>20000.0</v>
      </c>
      <c r="Q262" s="6">
        <v>4.0</v>
      </c>
      <c r="R262" s="6">
        <v>32.0</v>
      </c>
      <c r="S262" s="7"/>
      <c r="T262" s="6">
        <v>150.0</v>
      </c>
      <c r="U262" s="6">
        <v>119.0</v>
      </c>
      <c r="V262" s="5">
        <v>40.0</v>
      </c>
      <c r="W262" s="5"/>
      <c r="X262" s="8">
        <f t="shared" si="1"/>
        <v>0.6</v>
      </c>
      <c r="Y262" s="9">
        <f t="shared" si="2"/>
        <v>32000</v>
      </c>
      <c r="Z262" s="8">
        <f t="shared" si="3"/>
        <v>17.91044776</v>
      </c>
      <c r="AA262" s="8">
        <f t="shared" si="4"/>
        <v>29.85074627</v>
      </c>
      <c r="AB262" s="8">
        <f t="shared" si="5"/>
        <v>0.223880597</v>
      </c>
      <c r="AC262" s="8">
        <f t="shared" si="6"/>
        <v>65.2173913</v>
      </c>
      <c r="AD262" s="8">
        <f t="shared" si="7"/>
        <v>108.6956522</v>
      </c>
      <c r="AE262" s="8">
        <f t="shared" si="8"/>
        <v>0.8152173913</v>
      </c>
      <c r="AF262" s="8" t="str">
        <f t="shared" si="9"/>
        <v>#DIV/0!</v>
      </c>
      <c r="AG262" s="8" t="str">
        <f t="shared" si="10"/>
        <v>#DIV/0!</v>
      </c>
      <c r="AH262" s="8" t="str">
        <f t="shared" si="11"/>
        <v>#DIV/0!</v>
      </c>
      <c r="AI262" s="10">
        <f t="shared" si="12"/>
        <v>6.791171477</v>
      </c>
      <c r="AJ262" s="11">
        <f t="shared" si="13"/>
        <v>11.31861913</v>
      </c>
      <c r="AK262" s="12">
        <f t="shared" si="14"/>
        <v>0.08488964346</v>
      </c>
    </row>
    <row r="263">
      <c r="A263" s="4" t="s">
        <v>318</v>
      </c>
      <c r="B263" s="4" t="s">
        <v>317</v>
      </c>
      <c r="C263" s="4" t="s">
        <v>139</v>
      </c>
      <c r="D263" s="6">
        <v>8520.0</v>
      </c>
      <c r="E263" s="6">
        <v>2028.0</v>
      </c>
      <c r="F263" s="6">
        <v>2028.0</v>
      </c>
      <c r="G263" s="6">
        <v>8520.0</v>
      </c>
      <c r="H263" s="6">
        <v>64.0</v>
      </c>
      <c r="I263" s="6">
        <v>372.0</v>
      </c>
      <c r="J263" s="6">
        <v>3957.0</v>
      </c>
      <c r="K263" s="6">
        <v>60.0</v>
      </c>
      <c r="L263" s="4" t="s">
        <v>133</v>
      </c>
      <c r="M263" s="6">
        <v>63000.0</v>
      </c>
      <c r="N263" s="6">
        <v>12000.0</v>
      </c>
      <c r="O263" s="6">
        <v>6000.0</v>
      </c>
      <c r="P263" s="6">
        <v>20000.0</v>
      </c>
      <c r="Q263" s="6">
        <v>3.0</v>
      </c>
      <c r="R263" s="6">
        <v>0.0</v>
      </c>
      <c r="S263" s="7"/>
      <c r="T263" s="6">
        <v>0.0</v>
      </c>
      <c r="U263" s="6">
        <v>119.0</v>
      </c>
      <c r="V263" s="5">
        <v>30.0</v>
      </c>
      <c r="W263" s="5">
        <v>1.0</v>
      </c>
      <c r="X263" s="8">
        <f t="shared" si="1"/>
        <v>0.6</v>
      </c>
      <c r="Y263" s="9">
        <f t="shared" si="2"/>
        <v>32000</v>
      </c>
      <c r="Z263" s="8">
        <f t="shared" si="3"/>
        <v>5.917159763</v>
      </c>
      <c r="AA263" s="8">
        <f t="shared" si="4"/>
        <v>9.861932939</v>
      </c>
      <c r="AB263" s="8">
        <f t="shared" si="5"/>
        <v>0</v>
      </c>
      <c r="AC263" s="8">
        <f t="shared" si="6"/>
        <v>32.25806452</v>
      </c>
      <c r="AD263" s="8">
        <f t="shared" si="7"/>
        <v>53.76344086</v>
      </c>
      <c r="AE263" s="8">
        <f t="shared" si="8"/>
        <v>0</v>
      </c>
      <c r="AF263" s="8">
        <f t="shared" si="9"/>
        <v>187.5</v>
      </c>
      <c r="AG263" s="8">
        <f t="shared" si="10"/>
        <v>312.5</v>
      </c>
      <c r="AH263" s="8">
        <f t="shared" si="11"/>
        <v>0</v>
      </c>
      <c r="AI263" s="10">
        <f t="shared" si="12"/>
        <v>3.032600455</v>
      </c>
      <c r="AJ263" s="11">
        <f t="shared" si="13"/>
        <v>5.054334091</v>
      </c>
      <c r="AK263" s="12">
        <f t="shared" si="14"/>
        <v>0</v>
      </c>
    </row>
    <row r="264">
      <c r="A264" s="4" t="s">
        <v>319</v>
      </c>
      <c r="B264" s="4" t="s">
        <v>317</v>
      </c>
      <c r="C264" s="4" t="s">
        <v>171</v>
      </c>
      <c r="D264" s="6">
        <v>910.0</v>
      </c>
      <c r="E264" s="6">
        <v>215.0</v>
      </c>
      <c r="F264" s="6">
        <v>215.0</v>
      </c>
      <c r="G264" s="6">
        <v>910.0</v>
      </c>
      <c r="H264" s="6">
        <v>15.0</v>
      </c>
      <c r="I264" s="6">
        <v>39.0</v>
      </c>
      <c r="J264" s="6">
        <v>569.0</v>
      </c>
      <c r="K264" s="6">
        <v>90.0</v>
      </c>
      <c r="L264" s="4" t="s">
        <v>133</v>
      </c>
      <c r="M264" s="6">
        <v>3000.0</v>
      </c>
      <c r="N264" s="6">
        <v>8000.0</v>
      </c>
      <c r="O264" s="6">
        <v>3000.0</v>
      </c>
      <c r="P264" s="6">
        <v>3000.0</v>
      </c>
      <c r="Q264" s="6">
        <v>6.0</v>
      </c>
      <c r="R264" s="6">
        <v>6.0</v>
      </c>
      <c r="S264" s="7"/>
      <c r="T264" s="6">
        <v>24.0</v>
      </c>
      <c r="U264" s="6">
        <v>179.0</v>
      </c>
      <c r="V264" s="5">
        <v>19.0</v>
      </c>
      <c r="W264" s="7"/>
      <c r="X264" s="8">
        <f t="shared" si="1"/>
        <v>2.666666667</v>
      </c>
      <c r="Y264" s="9">
        <f t="shared" si="2"/>
        <v>11000</v>
      </c>
      <c r="Z264" s="8">
        <f t="shared" si="3"/>
        <v>37.20930233</v>
      </c>
      <c r="AA264" s="8">
        <f t="shared" si="4"/>
        <v>13.95348837</v>
      </c>
      <c r="AB264" s="8">
        <f t="shared" si="5"/>
        <v>0.111627907</v>
      </c>
      <c r="AC264" s="8">
        <f t="shared" si="6"/>
        <v>205.1282051</v>
      </c>
      <c r="AD264" s="8">
        <f t="shared" si="7"/>
        <v>76.92307692</v>
      </c>
      <c r="AE264" s="8">
        <f t="shared" si="8"/>
        <v>0.6153846154</v>
      </c>
      <c r="AF264" s="8">
        <f t="shared" si="9"/>
        <v>533.3333333</v>
      </c>
      <c r="AG264" s="8">
        <f t="shared" si="10"/>
        <v>200</v>
      </c>
      <c r="AH264" s="8">
        <f t="shared" si="11"/>
        <v>1.6</v>
      </c>
      <c r="AI264" s="10">
        <f t="shared" si="12"/>
        <v>14.05975395</v>
      </c>
      <c r="AJ264" s="11">
        <f t="shared" si="13"/>
        <v>5.272407733</v>
      </c>
      <c r="AK264" s="12">
        <f t="shared" si="14"/>
        <v>0.04217926186</v>
      </c>
    </row>
    <row r="265">
      <c r="A265" s="4" t="s">
        <v>320</v>
      </c>
      <c r="B265" s="4" t="s">
        <v>317</v>
      </c>
      <c r="C265" s="4" t="s">
        <v>73</v>
      </c>
      <c r="D265" s="6">
        <v>4118.0</v>
      </c>
      <c r="E265" s="6">
        <v>980.0</v>
      </c>
      <c r="F265" s="6">
        <v>980.0</v>
      </c>
      <c r="G265" s="6">
        <v>4118.0</v>
      </c>
      <c r="H265" s="6">
        <v>30.0</v>
      </c>
      <c r="I265" s="6">
        <v>179.0</v>
      </c>
      <c r="J265" s="6">
        <v>1912.0</v>
      </c>
      <c r="K265" s="6">
        <v>113.0</v>
      </c>
      <c r="L265" s="4" t="s">
        <v>133</v>
      </c>
      <c r="M265" s="6">
        <v>15000.0</v>
      </c>
      <c r="N265" s="6">
        <v>10000.0</v>
      </c>
      <c r="O265" s="6">
        <v>5000.0</v>
      </c>
      <c r="P265" s="6">
        <v>9000.0</v>
      </c>
      <c r="Q265" s="6">
        <v>6.0</v>
      </c>
      <c r="R265" s="6">
        <v>20.0</v>
      </c>
      <c r="S265" s="7"/>
      <c r="T265" s="6">
        <v>61.0</v>
      </c>
      <c r="U265" s="6">
        <v>149.0</v>
      </c>
      <c r="V265" s="5">
        <v>20.0</v>
      </c>
      <c r="W265" s="7"/>
      <c r="X265" s="8">
        <f t="shared" si="1"/>
        <v>1.111111111</v>
      </c>
      <c r="Y265" s="9">
        <f t="shared" si="2"/>
        <v>19000</v>
      </c>
      <c r="Z265" s="8">
        <f t="shared" si="3"/>
        <v>10.20408163</v>
      </c>
      <c r="AA265" s="8">
        <f t="shared" si="4"/>
        <v>9.183673469</v>
      </c>
      <c r="AB265" s="8">
        <f t="shared" si="5"/>
        <v>0.06224489796</v>
      </c>
      <c r="AC265" s="8">
        <f t="shared" si="6"/>
        <v>55.86592179</v>
      </c>
      <c r="AD265" s="8">
        <f t="shared" si="7"/>
        <v>50.27932961</v>
      </c>
      <c r="AE265" s="8">
        <f t="shared" si="8"/>
        <v>0.3407821229</v>
      </c>
      <c r="AF265" s="8">
        <f t="shared" si="9"/>
        <v>333.3333333</v>
      </c>
      <c r="AG265" s="8">
        <f t="shared" si="10"/>
        <v>300</v>
      </c>
      <c r="AH265" s="8">
        <f t="shared" si="11"/>
        <v>2.033333333</v>
      </c>
      <c r="AI265" s="10">
        <f t="shared" si="12"/>
        <v>5.230125523</v>
      </c>
      <c r="AJ265" s="11">
        <f t="shared" si="13"/>
        <v>4.707112971</v>
      </c>
      <c r="AK265" s="12">
        <f t="shared" si="14"/>
        <v>0.03190376569</v>
      </c>
    </row>
    <row r="266">
      <c r="A266" s="4" t="s">
        <v>321</v>
      </c>
      <c r="B266" s="4" t="s">
        <v>317</v>
      </c>
      <c r="C266" s="4" t="s">
        <v>91</v>
      </c>
      <c r="D266" s="6">
        <v>3486.0</v>
      </c>
      <c r="E266" s="6">
        <v>829.0</v>
      </c>
      <c r="F266" s="6">
        <v>829.0</v>
      </c>
      <c r="G266" s="6">
        <v>3486.0</v>
      </c>
      <c r="H266" s="6">
        <v>33.0</v>
      </c>
      <c r="I266" s="6">
        <v>152.0</v>
      </c>
      <c r="J266" s="6">
        <v>2185.0</v>
      </c>
      <c r="K266" s="6">
        <v>93.0</v>
      </c>
      <c r="L266" s="4" t="s">
        <v>133</v>
      </c>
      <c r="M266" s="6">
        <v>15000.0</v>
      </c>
      <c r="N266" s="6">
        <v>5000.0</v>
      </c>
      <c r="O266" s="6">
        <v>2000.0</v>
      </c>
      <c r="P266" s="6">
        <v>9000.0</v>
      </c>
      <c r="Q266" s="6">
        <v>6.0</v>
      </c>
      <c r="R266" s="6">
        <v>20.0</v>
      </c>
      <c r="S266" s="7"/>
      <c r="T266" s="6">
        <v>61.0</v>
      </c>
      <c r="U266" s="6">
        <v>149.0</v>
      </c>
      <c r="V266" s="5">
        <v>35.0</v>
      </c>
      <c r="W266" s="7"/>
      <c r="X266" s="8">
        <f t="shared" si="1"/>
        <v>0.5555555556</v>
      </c>
      <c r="Y266" s="9">
        <f t="shared" si="2"/>
        <v>14000</v>
      </c>
      <c r="Z266" s="8">
        <f t="shared" si="3"/>
        <v>6.031363088</v>
      </c>
      <c r="AA266" s="8">
        <f t="shared" si="4"/>
        <v>10.85645356</v>
      </c>
      <c r="AB266" s="8">
        <f t="shared" si="5"/>
        <v>0.07358262967</v>
      </c>
      <c r="AC266" s="8">
        <f t="shared" si="6"/>
        <v>32.89473684</v>
      </c>
      <c r="AD266" s="8">
        <f t="shared" si="7"/>
        <v>59.21052632</v>
      </c>
      <c r="AE266" s="8">
        <f t="shared" si="8"/>
        <v>0.4013157895</v>
      </c>
      <c r="AF266" s="8">
        <f t="shared" si="9"/>
        <v>151.5151515</v>
      </c>
      <c r="AG266" s="8">
        <f t="shared" si="10"/>
        <v>272.7272727</v>
      </c>
      <c r="AH266" s="8">
        <f t="shared" si="11"/>
        <v>1.848484848</v>
      </c>
      <c r="AI266" s="10">
        <f t="shared" si="12"/>
        <v>2.288329519</v>
      </c>
      <c r="AJ266" s="11">
        <f t="shared" si="13"/>
        <v>4.118993135</v>
      </c>
      <c r="AK266" s="12">
        <f t="shared" si="14"/>
        <v>0.02791762014</v>
      </c>
    </row>
    <row r="267">
      <c r="A267" s="4" t="s">
        <v>322</v>
      </c>
      <c r="B267" s="4" t="s">
        <v>317</v>
      </c>
      <c r="C267" s="4" t="s">
        <v>91</v>
      </c>
      <c r="D267" s="6">
        <v>4574.0</v>
      </c>
      <c r="E267" s="6">
        <v>1088.0</v>
      </c>
      <c r="F267" s="6">
        <v>1088.0</v>
      </c>
      <c r="G267" s="6">
        <v>4574.0</v>
      </c>
      <c r="H267" s="6">
        <v>55.0</v>
      </c>
      <c r="I267" s="6">
        <v>199.0</v>
      </c>
      <c r="J267" s="6">
        <v>287.0</v>
      </c>
      <c r="K267" s="6">
        <v>99.0</v>
      </c>
      <c r="L267" s="4" t="s">
        <v>133</v>
      </c>
      <c r="M267" s="6">
        <v>25000.0</v>
      </c>
      <c r="N267" s="6">
        <v>6000.0</v>
      </c>
      <c r="O267" s="6">
        <v>2000.0</v>
      </c>
      <c r="P267" s="6">
        <v>14000.0</v>
      </c>
      <c r="Q267" s="6">
        <v>6.0</v>
      </c>
      <c r="R267" s="6">
        <v>36.0</v>
      </c>
      <c r="S267" s="7"/>
      <c r="T267" s="6">
        <v>111.0</v>
      </c>
      <c r="U267" s="6">
        <v>134.0</v>
      </c>
      <c r="V267" s="5">
        <v>35.0</v>
      </c>
      <c r="W267" s="7"/>
      <c r="X267" s="8">
        <f t="shared" si="1"/>
        <v>0.4285714286</v>
      </c>
      <c r="Y267" s="9">
        <f t="shared" si="2"/>
        <v>20000</v>
      </c>
      <c r="Z267" s="8">
        <f t="shared" si="3"/>
        <v>5.514705882</v>
      </c>
      <c r="AA267" s="8">
        <f t="shared" si="4"/>
        <v>12.86764706</v>
      </c>
      <c r="AB267" s="8">
        <f t="shared" si="5"/>
        <v>0.1020220588</v>
      </c>
      <c r="AC267" s="8">
        <f t="shared" si="6"/>
        <v>30.15075377</v>
      </c>
      <c r="AD267" s="8">
        <f t="shared" si="7"/>
        <v>70.35175879</v>
      </c>
      <c r="AE267" s="8">
        <f t="shared" si="8"/>
        <v>0.5577889447</v>
      </c>
      <c r="AF267" s="8">
        <f t="shared" si="9"/>
        <v>109.0909091</v>
      </c>
      <c r="AG267" s="8">
        <f t="shared" si="10"/>
        <v>254.5454545</v>
      </c>
      <c r="AH267" s="8">
        <f t="shared" si="11"/>
        <v>2.018181818</v>
      </c>
      <c r="AI267" s="10">
        <f t="shared" si="12"/>
        <v>20.90592334</v>
      </c>
      <c r="AJ267" s="11">
        <f t="shared" si="13"/>
        <v>48.7804878</v>
      </c>
      <c r="AK267" s="12">
        <f t="shared" si="14"/>
        <v>0.3867595819</v>
      </c>
    </row>
    <row r="268">
      <c r="A268" s="4" t="s">
        <v>323</v>
      </c>
      <c r="B268" s="4" t="s">
        <v>317</v>
      </c>
      <c r="C268" s="4" t="s">
        <v>92</v>
      </c>
      <c r="D268" s="6">
        <v>3829.0</v>
      </c>
      <c r="E268" s="6">
        <v>910.0</v>
      </c>
      <c r="F268" s="6">
        <v>910.0</v>
      </c>
      <c r="G268" s="6">
        <v>3829.0</v>
      </c>
      <c r="H268" s="6">
        <v>56.0</v>
      </c>
      <c r="I268" s="6">
        <v>167.0</v>
      </c>
      <c r="J268" s="6">
        <v>2401.0</v>
      </c>
      <c r="K268" s="6">
        <v>96.0</v>
      </c>
      <c r="L268" s="4" t="s">
        <v>133</v>
      </c>
      <c r="M268" s="6">
        <v>14000.0</v>
      </c>
      <c r="N268" s="6">
        <v>10000.0</v>
      </c>
      <c r="O268" s="6">
        <v>5000.0</v>
      </c>
      <c r="P268" s="6">
        <v>6000.0</v>
      </c>
      <c r="Q268" s="6">
        <v>6.0</v>
      </c>
      <c r="R268" s="6">
        <v>30.0</v>
      </c>
      <c r="S268" s="7"/>
      <c r="T268" s="6">
        <v>92.0</v>
      </c>
      <c r="U268" s="6">
        <v>172.0</v>
      </c>
      <c r="V268" s="5">
        <v>25.0</v>
      </c>
      <c r="W268" s="7"/>
      <c r="X268" s="8">
        <f t="shared" si="1"/>
        <v>1.666666667</v>
      </c>
      <c r="Y268" s="9">
        <f t="shared" si="2"/>
        <v>16000</v>
      </c>
      <c r="Z268" s="8">
        <f t="shared" si="3"/>
        <v>10.98901099</v>
      </c>
      <c r="AA268" s="8">
        <f t="shared" si="4"/>
        <v>6.593406593</v>
      </c>
      <c r="AB268" s="8">
        <f t="shared" si="5"/>
        <v>0.1010989011</v>
      </c>
      <c r="AC268" s="8">
        <f t="shared" si="6"/>
        <v>59.88023952</v>
      </c>
      <c r="AD268" s="8">
        <f t="shared" si="7"/>
        <v>35.92814371</v>
      </c>
      <c r="AE268" s="8">
        <f t="shared" si="8"/>
        <v>0.5508982036</v>
      </c>
      <c r="AF268" s="8">
        <f t="shared" si="9"/>
        <v>178.5714286</v>
      </c>
      <c r="AG268" s="8">
        <f t="shared" si="10"/>
        <v>107.1428571</v>
      </c>
      <c r="AH268" s="8">
        <f t="shared" si="11"/>
        <v>1.642857143</v>
      </c>
      <c r="AI268" s="10">
        <f t="shared" si="12"/>
        <v>4.164931279</v>
      </c>
      <c r="AJ268" s="11">
        <f t="shared" si="13"/>
        <v>2.498958767</v>
      </c>
      <c r="AK268" s="12">
        <f t="shared" si="14"/>
        <v>0.03831736776</v>
      </c>
    </row>
    <row r="269">
      <c r="A269" s="4" t="s">
        <v>324</v>
      </c>
      <c r="B269" s="4" t="s">
        <v>317</v>
      </c>
      <c r="C269" s="4" t="s">
        <v>92</v>
      </c>
      <c r="D269" s="6">
        <v>6033.0</v>
      </c>
      <c r="E269" s="6">
        <v>1436.0</v>
      </c>
      <c r="F269" s="6">
        <v>1436.0</v>
      </c>
      <c r="G269" s="6">
        <v>6033.0</v>
      </c>
      <c r="H269" s="6">
        <v>88.0</v>
      </c>
      <c r="I269" s="6">
        <v>263.0</v>
      </c>
      <c r="J269" s="6">
        <v>3781.0</v>
      </c>
      <c r="K269" s="6">
        <v>113.0</v>
      </c>
      <c r="L269" s="4" t="s">
        <v>133</v>
      </c>
      <c r="M269" s="6">
        <v>22000.0</v>
      </c>
      <c r="N269" s="6">
        <v>12000.0</v>
      </c>
      <c r="O269" s="6">
        <v>5000.0</v>
      </c>
      <c r="P269" s="6">
        <v>13000.0</v>
      </c>
      <c r="Q269" s="6">
        <v>6.0</v>
      </c>
      <c r="R269" s="6">
        <v>28.0</v>
      </c>
      <c r="S269" s="7"/>
      <c r="T269" s="6">
        <v>86.0</v>
      </c>
      <c r="U269" s="6">
        <v>149.0</v>
      </c>
      <c r="V269" s="5">
        <v>25.0</v>
      </c>
      <c r="W269" s="7"/>
      <c r="X269" s="8">
        <f t="shared" si="1"/>
        <v>0.9230769231</v>
      </c>
      <c r="Y269" s="9">
        <f t="shared" si="2"/>
        <v>25000</v>
      </c>
      <c r="Z269" s="8">
        <f t="shared" si="3"/>
        <v>8.356545961</v>
      </c>
      <c r="AA269" s="8">
        <f t="shared" si="4"/>
        <v>9.052924791</v>
      </c>
      <c r="AB269" s="8">
        <f t="shared" si="5"/>
        <v>0.05988857939</v>
      </c>
      <c r="AC269" s="8">
        <f t="shared" si="6"/>
        <v>45.62737643</v>
      </c>
      <c r="AD269" s="8">
        <f t="shared" si="7"/>
        <v>49.42965779</v>
      </c>
      <c r="AE269" s="8">
        <f t="shared" si="8"/>
        <v>0.3269961977</v>
      </c>
      <c r="AF269" s="8">
        <f t="shared" si="9"/>
        <v>136.3636364</v>
      </c>
      <c r="AG269" s="8">
        <f t="shared" si="10"/>
        <v>147.7272727</v>
      </c>
      <c r="AH269" s="8">
        <f t="shared" si="11"/>
        <v>0.9772727273</v>
      </c>
      <c r="AI269" s="10">
        <f t="shared" si="12"/>
        <v>3.173763555</v>
      </c>
      <c r="AJ269" s="11">
        <f t="shared" si="13"/>
        <v>3.438243851</v>
      </c>
      <c r="AK269" s="12">
        <f t="shared" si="14"/>
        <v>0.02274530547</v>
      </c>
    </row>
    <row r="270">
      <c r="A270" s="4" t="s">
        <v>325</v>
      </c>
      <c r="B270" s="4" t="s">
        <v>317</v>
      </c>
      <c r="C270" s="4" t="s">
        <v>70</v>
      </c>
      <c r="D270" s="6">
        <v>3927.0</v>
      </c>
      <c r="E270" s="6">
        <v>1869.0</v>
      </c>
      <c r="F270" s="6">
        <v>934.0</v>
      </c>
      <c r="G270" s="6">
        <v>15708.0</v>
      </c>
      <c r="H270" s="6">
        <v>0.0</v>
      </c>
      <c r="I270" s="6">
        <v>257.0</v>
      </c>
      <c r="J270" s="6">
        <v>4924.0</v>
      </c>
      <c r="K270" s="6">
        <v>104.0</v>
      </c>
      <c r="L270" s="4" t="s">
        <v>133</v>
      </c>
      <c r="M270" s="6">
        <v>18000.0</v>
      </c>
      <c r="N270" s="6">
        <v>10000.0</v>
      </c>
      <c r="O270" s="6">
        <v>4000.0</v>
      </c>
      <c r="P270" s="6">
        <v>9000.0</v>
      </c>
      <c r="Q270" s="6">
        <v>6.0</v>
      </c>
      <c r="R270" s="6">
        <v>48.0</v>
      </c>
      <c r="S270" s="7"/>
      <c r="T270" s="6">
        <v>224.0</v>
      </c>
      <c r="U270" s="6">
        <v>149.0</v>
      </c>
      <c r="V270" s="5">
        <v>20.0</v>
      </c>
      <c r="W270" s="7"/>
      <c r="X270" s="8">
        <f t="shared" si="1"/>
        <v>1.111111111</v>
      </c>
      <c r="Y270" s="9">
        <f t="shared" si="2"/>
        <v>19000</v>
      </c>
      <c r="Z270" s="8">
        <f t="shared" si="3"/>
        <v>5.350454789</v>
      </c>
      <c r="AA270" s="8">
        <f t="shared" si="4"/>
        <v>4.81540931</v>
      </c>
      <c r="AB270" s="8">
        <f t="shared" si="5"/>
        <v>0.1198501873</v>
      </c>
      <c r="AC270" s="8">
        <f t="shared" si="6"/>
        <v>38.91050584</v>
      </c>
      <c r="AD270" s="8">
        <f t="shared" si="7"/>
        <v>35.01945525</v>
      </c>
      <c r="AE270" s="8">
        <f t="shared" si="8"/>
        <v>0.8715953307</v>
      </c>
      <c r="AF270" s="8" t="str">
        <f t="shared" si="9"/>
        <v>#DIV/0!</v>
      </c>
      <c r="AG270" s="8" t="str">
        <f t="shared" si="10"/>
        <v>#DIV/0!</v>
      </c>
      <c r="AH270" s="8" t="str">
        <f t="shared" si="11"/>
        <v>#DIV/0!</v>
      </c>
      <c r="AI270" s="10">
        <f t="shared" si="12"/>
        <v>2.030869212</v>
      </c>
      <c r="AJ270" s="11">
        <f t="shared" si="13"/>
        <v>1.827782291</v>
      </c>
      <c r="AK270" s="12">
        <f t="shared" si="14"/>
        <v>0.04549147035</v>
      </c>
    </row>
    <row r="271">
      <c r="A271" s="4" t="s">
        <v>326</v>
      </c>
      <c r="B271" s="4" t="s">
        <v>317</v>
      </c>
      <c r="C271" s="4" t="s">
        <v>49</v>
      </c>
      <c r="D271" s="6">
        <v>9141.0</v>
      </c>
      <c r="E271" s="6">
        <v>2175.0</v>
      </c>
      <c r="F271" s="6">
        <v>2175.0</v>
      </c>
      <c r="G271" s="6">
        <v>9141.0</v>
      </c>
      <c r="H271" s="6">
        <v>45.0</v>
      </c>
      <c r="I271" s="6">
        <v>399.0</v>
      </c>
      <c r="J271" s="6">
        <v>5730.0</v>
      </c>
      <c r="K271" s="6">
        <v>104.0</v>
      </c>
      <c r="L271" s="4" t="s">
        <v>133</v>
      </c>
      <c r="M271" s="6">
        <v>22000.0</v>
      </c>
      <c r="N271" s="6">
        <v>18000.0</v>
      </c>
      <c r="O271" s="6">
        <v>7000.0</v>
      </c>
      <c r="P271" s="6">
        <v>13000.0</v>
      </c>
      <c r="Q271" s="6">
        <v>6.0</v>
      </c>
      <c r="R271" s="6">
        <v>32.0</v>
      </c>
      <c r="S271" s="7"/>
      <c r="T271" s="6">
        <v>149.0</v>
      </c>
      <c r="U271" s="6">
        <v>149.0</v>
      </c>
      <c r="V271" s="5">
        <v>40.0</v>
      </c>
      <c r="W271" s="7"/>
      <c r="X271" s="8">
        <f t="shared" si="1"/>
        <v>1.384615385</v>
      </c>
      <c r="Y271" s="9">
        <f t="shared" si="2"/>
        <v>31000</v>
      </c>
      <c r="Z271" s="8">
        <f t="shared" si="3"/>
        <v>8.275862069</v>
      </c>
      <c r="AA271" s="8">
        <f t="shared" si="4"/>
        <v>5.977011494</v>
      </c>
      <c r="AB271" s="8">
        <f t="shared" si="5"/>
        <v>0.06850574713</v>
      </c>
      <c r="AC271" s="8">
        <f t="shared" si="6"/>
        <v>45.11278195</v>
      </c>
      <c r="AD271" s="8">
        <f t="shared" si="7"/>
        <v>32.58145363</v>
      </c>
      <c r="AE271" s="8">
        <f t="shared" si="8"/>
        <v>0.373433584</v>
      </c>
      <c r="AF271" s="8">
        <f t="shared" si="9"/>
        <v>400</v>
      </c>
      <c r="AG271" s="8">
        <f t="shared" si="10"/>
        <v>288.8888889</v>
      </c>
      <c r="AH271" s="8">
        <f t="shared" si="11"/>
        <v>3.311111111</v>
      </c>
      <c r="AI271" s="10">
        <f t="shared" si="12"/>
        <v>3.141361257</v>
      </c>
      <c r="AJ271" s="11">
        <f t="shared" si="13"/>
        <v>2.268760908</v>
      </c>
      <c r="AK271" s="12">
        <f t="shared" si="14"/>
        <v>0.0260034904</v>
      </c>
    </row>
    <row r="272">
      <c r="A272" s="4" t="s">
        <v>327</v>
      </c>
      <c r="B272" s="4" t="s">
        <v>317</v>
      </c>
      <c r="C272" s="4" t="s">
        <v>49</v>
      </c>
      <c r="D272" s="6">
        <v>5513.0</v>
      </c>
      <c r="E272" s="6">
        <v>1311.0</v>
      </c>
      <c r="F272" s="6">
        <v>1311.0</v>
      </c>
      <c r="G272" s="6">
        <v>5513.0</v>
      </c>
      <c r="H272" s="6">
        <v>27.0</v>
      </c>
      <c r="I272" s="6">
        <v>240.0</v>
      </c>
      <c r="J272" s="6">
        <v>3456.0</v>
      </c>
      <c r="K272" s="6">
        <v>84.0</v>
      </c>
      <c r="L272" s="4" t="s">
        <v>133</v>
      </c>
      <c r="M272" s="6">
        <v>13000.0</v>
      </c>
      <c r="N272" s="6">
        <v>12000.0</v>
      </c>
      <c r="O272" s="6">
        <v>7000.0</v>
      </c>
      <c r="P272" s="6">
        <v>6000.0</v>
      </c>
      <c r="Q272" s="6">
        <v>6.0</v>
      </c>
      <c r="R272" s="6">
        <v>28.0</v>
      </c>
      <c r="S272" s="7"/>
      <c r="T272" s="6">
        <v>131.0</v>
      </c>
      <c r="U272" s="6">
        <v>164.0</v>
      </c>
      <c r="V272" s="5">
        <v>40.0</v>
      </c>
      <c r="W272" s="7"/>
      <c r="X272" s="8">
        <f t="shared" si="1"/>
        <v>2</v>
      </c>
      <c r="Y272" s="9">
        <f t="shared" si="2"/>
        <v>18000</v>
      </c>
      <c r="Z272" s="8">
        <f t="shared" si="3"/>
        <v>9.153318078</v>
      </c>
      <c r="AA272" s="8">
        <f t="shared" si="4"/>
        <v>4.576659039</v>
      </c>
      <c r="AB272" s="8">
        <f t="shared" si="5"/>
        <v>0.09992372235</v>
      </c>
      <c r="AC272" s="8">
        <f t="shared" si="6"/>
        <v>50</v>
      </c>
      <c r="AD272" s="8">
        <f t="shared" si="7"/>
        <v>25</v>
      </c>
      <c r="AE272" s="8">
        <f t="shared" si="8"/>
        <v>0.5458333333</v>
      </c>
      <c r="AF272" s="8">
        <f t="shared" si="9"/>
        <v>444.4444444</v>
      </c>
      <c r="AG272" s="8">
        <f t="shared" si="10"/>
        <v>222.2222222</v>
      </c>
      <c r="AH272" s="8">
        <f t="shared" si="11"/>
        <v>4.851851852</v>
      </c>
      <c r="AI272" s="10">
        <f t="shared" si="12"/>
        <v>3.472222222</v>
      </c>
      <c r="AJ272" s="11">
        <f t="shared" si="13"/>
        <v>1.736111111</v>
      </c>
      <c r="AK272" s="12">
        <f t="shared" si="14"/>
        <v>0.03790509259</v>
      </c>
    </row>
    <row r="273">
      <c r="A273" s="4" t="s">
        <v>293</v>
      </c>
      <c r="B273" s="4" t="s">
        <v>317</v>
      </c>
      <c r="C273" s="4" t="s">
        <v>82</v>
      </c>
      <c r="D273" s="6">
        <v>7335.0</v>
      </c>
      <c r="E273" s="6">
        <v>1746.0</v>
      </c>
      <c r="F273" s="6">
        <v>1746.0</v>
      </c>
      <c r="G273" s="6">
        <v>7335.0</v>
      </c>
      <c r="H273" s="6">
        <v>0.0</v>
      </c>
      <c r="I273" s="6">
        <v>320.0</v>
      </c>
      <c r="J273" s="6">
        <v>4597.0</v>
      </c>
      <c r="K273" s="6">
        <v>99.0</v>
      </c>
      <c r="L273" s="4" t="s">
        <v>133</v>
      </c>
      <c r="M273" s="6">
        <v>57000.0</v>
      </c>
      <c r="N273" s="6">
        <v>14000.0</v>
      </c>
      <c r="O273" s="6">
        <v>6000.0</v>
      </c>
      <c r="P273" s="6">
        <v>4000.0</v>
      </c>
      <c r="Q273" s="6">
        <v>6.0</v>
      </c>
      <c r="R273" s="6">
        <v>42.0</v>
      </c>
      <c r="S273" s="7"/>
      <c r="T273" s="6">
        <v>159.0</v>
      </c>
      <c r="U273" s="6">
        <v>169.0</v>
      </c>
      <c r="V273" s="5">
        <v>48.0</v>
      </c>
      <c r="W273" s="7"/>
      <c r="X273" s="8">
        <f t="shared" si="1"/>
        <v>3.5</v>
      </c>
      <c r="Y273" s="9">
        <f t="shared" si="2"/>
        <v>18000</v>
      </c>
      <c r="Z273" s="8">
        <f t="shared" si="3"/>
        <v>8.018327606</v>
      </c>
      <c r="AA273" s="8">
        <f t="shared" si="4"/>
        <v>2.290950745</v>
      </c>
      <c r="AB273" s="8">
        <f t="shared" si="5"/>
        <v>0.0910652921</v>
      </c>
      <c r="AC273" s="8">
        <f t="shared" si="6"/>
        <v>43.75</v>
      </c>
      <c r="AD273" s="8">
        <f t="shared" si="7"/>
        <v>12.5</v>
      </c>
      <c r="AE273" s="8">
        <f t="shared" si="8"/>
        <v>0.496875</v>
      </c>
      <c r="AF273" s="8" t="str">
        <f t="shared" si="9"/>
        <v>#DIV/0!</v>
      </c>
      <c r="AG273" s="8" t="str">
        <f t="shared" si="10"/>
        <v>#DIV/0!</v>
      </c>
      <c r="AH273" s="8" t="str">
        <f t="shared" si="11"/>
        <v>#DIV/0!</v>
      </c>
      <c r="AI273" s="10">
        <f t="shared" si="12"/>
        <v>3.045464433</v>
      </c>
      <c r="AJ273" s="11">
        <f t="shared" si="13"/>
        <v>0.8701326952</v>
      </c>
      <c r="AK273" s="12">
        <f t="shared" si="14"/>
        <v>0.03458777464</v>
      </c>
    </row>
    <row r="274">
      <c r="A274" s="4" t="s">
        <v>328</v>
      </c>
      <c r="B274" s="4" t="s">
        <v>317</v>
      </c>
      <c r="C274" s="4" t="s">
        <v>82</v>
      </c>
      <c r="D274" s="6">
        <v>4283.0</v>
      </c>
      <c r="E274" s="6">
        <v>1019.0</v>
      </c>
      <c r="F274" s="6">
        <v>1019.0</v>
      </c>
      <c r="G274" s="6">
        <v>4283.0</v>
      </c>
      <c r="H274" s="6">
        <v>0.0</v>
      </c>
      <c r="I274" s="6">
        <v>187.0</v>
      </c>
      <c r="J274" s="6">
        <v>2685.0</v>
      </c>
      <c r="K274" s="6">
        <v>126.0</v>
      </c>
      <c r="L274" s="4" t="s">
        <v>133</v>
      </c>
      <c r="M274" s="6">
        <v>51000.0</v>
      </c>
      <c r="N274" s="6">
        <v>10000.0</v>
      </c>
      <c r="O274" s="6">
        <v>4000.0</v>
      </c>
      <c r="P274" s="6">
        <v>7000.0</v>
      </c>
      <c r="Q274" s="6">
        <v>6.0</v>
      </c>
      <c r="R274" s="6">
        <v>24.0</v>
      </c>
      <c r="S274" s="7"/>
      <c r="T274" s="6">
        <v>112.0</v>
      </c>
      <c r="U274" s="6">
        <v>149.0</v>
      </c>
      <c r="V274" s="5">
        <v>22.0</v>
      </c>
      <c r="W274" s="7"/>
      <c r="X274" s="8">
        <f t="shared" si="1"/>
        <v>1.428571429</v>
      </c>
      <c r="Y274" s="9">
        <f t="shared" si="2"/>
        <v>17000</v>
      </c>
      <c r="Z274" s="8">
        <f t="shared" si="3"/>
        <v>9.813542689</v>
      </c>
      <c r="AA274" s="8">
        <f t="shared" si="4"/>
        <v>6.869479882</v>
      </c>
      <c r="AB274" s="8">
        <f t="shared" si="5"/>
        <v>0.1099116781</v>
      </c>
      <c r="AC274" s="8">
        <f t="shared" si="6"/>
        <v>53.47593583</v>
      </c>
      <c r="AD274" s="8">
        <f t="shared" si="7"/>
        <v>37.43315508</v>
      </c>
      <c r="AE274" s="8">
        <f t="shared" si="8"/>
        <v>0.5989304813</v>
      </c>
      <c r="AF274" s="8" t="str">
        <f t="shared" si="9"/>
        <v>#DIV/0!</v>
      </c>
      <c r="AG274" s="8" t="str">
        <f t="shared" si="10"/>
        <v>#DIV/0!</v>
      </c>
      <c r="AH274" s="8" t="str">
        <f t="shared" si="11"/>
        <v>#DIV/0!</v>
      </c>
      <c r="AI274" s="10">
        <f t="shared" si="12"/>
        <v>3.724394786</v>
      </c>
      <c r="AJ274" s="11">
        <f t="shared" si="13"/>
        <v>2.60707635</v>
      </c>
      <c r="AK274" s="12">
        <f t="shared" si="14"/>
        <v>0.0417132216</v>
      </c>
    </row>
    <row r="275">
      <c r="A275" s="4" t="s">
        <v>329</v>
      </c>
      <c r="B275" s="4" t="s">
        <v>317</v>
      </c>
      <c r="C275" s="4" t="s">
        <v>82</v>
      </c>
      <c r="D275" s="6">
        <v>4547.0</v>
      </c>
      <c r="E275" s="6">
        <v>1082.0</v>
      </c>
      <c r="F275" s="6">
        <v>1082.0</v>
      </c>
      <c r="G275" s="6">
        <v>4547.0</v>
      </c>
      <c r="H275" s="6">
        <v>0.0</v>
      </c>
      <c r="I275" s="6">
        <v>198.0</v>
      </c>
      <c r="J275" s="6">
        <v>2852.0</v>
      </c>
      <c r="K275" s="6">
        <v>116.0</v>
      </c>
      <c r="L275" s="4" t="s">
        <v>133</v>
      </c>
      <c r="M275" s="6">
        <v>52000.0</v>
      </c>
      <c r="N275" s="6">
        <v>12000.0</v>
      </c>
      <c r="O275" s="6">
        <v>4000.0</v>
      </c>
      <c r="P275" s="6">
        <v>8000.0</v>
      </c>
      <c r="Q275" s="6">
        <v>6.0</v>
      </c>
      <c r="R275" s="6">
        <v>22.0</v>
      </c>
      <c r="S275" s="7"/>
      <c r="T275" s="6">
        <v>103.0</v>
      </c>
      <c r="U275" s="6">
        <v>149.0</v>
      </c>
      <c r="V275" s="5">
        <v>28.0</v>
      </c>
      <c r="W275" s="7"/>
      <c r="X275" s="8">
        <f t="shared" si="1"/>
        <v>1.5</v>
      </c>
      <c r="Y275" s="9">
        <f t="shared" si="2"/>
        <v>20000</v>
      </c>
      <c r="Z275" s="8">
        <f t="shared" si="3"/>
        <v>11.09057301</v>
      </c>
      <c r="AA275" s="8">
        <f t="shared" si="4"/>
        <v>7.393715342</v>
      </c>
      <c r="AB275" s="8">
        <f t="shared" si="5"/>
        <v>0.09519408503</v>
      </c>
      <c r="AC275" s="8">
        <f t="shared" si="6"/>
        <v>60.60606061</v>
      </c>
      <c r="AD275" s="8">
        <f t="shared" si="7"/>
        <v>40.4040404</v>
      </c>
      <c r="AE275" s="8">
        <f t="shared" si="8"/>
        <v>0.5202020202</v>
      </c>
      <c r="AF275" s="8" t="str">
        <f t="shared" si="9"/>
        <v>#DIV/0!</v>
      </c>
      <c r="AG275" s="8" t="str">
        <f t="shared" si="10"/>
        <v>#DIV/0!</v>
      </c>
      <c r="AH275" s="8" t="str">
        <f t="shared" si="11"/>
        <v>#DIV/0!</v>
      </c>
      <c r="AI275" s="10">
        <f t="shared" si="12"/>
        <v>4.207573633</v>
      </c>
      <c r="AJ275" s="11">
        <f t="shared" si="13"/>
        <v>2.805049088</v>
      </c>
      <c r="AK275" s="12">
        <f t="shared" si="14"/>
        <v>0.03611500701</v>
      </c>
    </row>
    <row r="276">
      <c r="A276" s="4" t="s">
        <v>330</v>
      </c>
      <c r="B276" s="4" t="s">
        <v>317</v>
      </c>
      <c r="C276" s="4" t="s">
        <v>82</v>
      </c>
      <c r="D276" s="6">
        <v>34865.0</v>
      </c>
      <c r="E276" s="6">
        <v>8300.0</v>
      </c>
      <c r="F276" s="6">
        <v>8300.0</v>
      </c>
      <c r="G276" s="6">
        <v>34865.0</v>
      </c>
      <c r="H276" s="6">
        <v>0.0</v>
      </c>
      <c r="I276" s="6">
        <v>1522.0</v>
      </c>
      <c r="J276" s="6">
        <v>21860.0</v>
      </c>
      <c r="K276" s="6">
        <v>67.0</v>
      </c>
      <c r="L276" s="4" t="s">
        <v>133</v>
      </c>
      <c r="M276" s="6">
        <v>224000.0</v>
      </c>
      <c r="N276" s="6">
        <v>46000.0</v>
      </c>
      <c r="O276" s="6">
        <v>8000.0</v>
      </c>
      <c r="P276" s="6">
        <v>36000.0</v>
      </c>
      <c r="Q276" s="6">
        <v>6.0</v>
      </c>
      <c r="R276" s="6">
        <v>80.0</v>
      </c>
      <c r="S276" s="7"/>
      <c r="T276" s="6">
        <v>725.0</v>
      </c>
      <c r="U276" s="6">
        <v>99.0</v>
      </c>
      <c r="V276" s="5">
        <v>80.0</v>
      </c>
      <c r="W276" s="7"/>
      <c r="X276" s="8">
        <f t="shared" si="1"/>
        <v>1.277777778</v>
      </c>
      <c r="Y276" s="9">
        <f t="shared" si="2"/>
        <v>82000</v>
      </c>
      <c r="Z276" s="8">
        <f t="shared" si="3"/>
        <v>5.542168675</v>
      </c>
      <c r="AA276" s="8">
        <f t="shared" si="4"/>
        <v>4.337349398</v>
      </c>
      <c r="AB276" s="8">
        <f t="shared" si="5"/>
        <v>0.08734939759</v>
      </c>
      <c r="AC276" s="8">
        <f t="shared" si="6"/>
        <v>30.22339028</v>
      </c>
      <c r="AD276" s="8">
        <f t="shared" si="7"/>
        <v>23.65308804</v>
      </c>
      <c r="AE276" s="8">
        <f t="shared" si="8"/>
        <v>0.476346912</v>
      </c>
      <c r="AF276" s="8" t="str">
        <f t="shared" si="9"/>
        <v>#DIV/0!</v>
      </c>
      <c r="AG276" s="8" t="str">
        <f t="shared" si="10"/>
        <v>#DIV/0!</v>
      </c>
      <c r="AH276" s="8" t="str">
        <f t="shared" si="11"/>
        <v>#DIV/0!</v>
      </c>
      <c r="AI276" s="10">
        <f t="shared" si="12"/>
        <v>2.104300091</v>
      </c>
      <c r="AJ276" s="11">
        <f t="shared" si="13"/>
        <v>1.64684355</v>
      </c>
      <c r="AK276" s="12">
        <f t="shared" si="14"/>
        <v>0.03316559927</v>
      </c>
    </row>
    <row r="277">
      <c r="A277" s="4" t="s">
        <v>331</v>
      </c>
      <c r="B277" s="4" t="s">
        <v>317</v>
      </c>
      <c r="C277" s="4" t="s">
        <v>82</v>
      </c>
      <c r="D277" s="6">
        <v>5373.0</v>
      </c>
      <c r="E277" s="6">
        <v>1278.0</v>
      </c>
      <c r="F277" s="6">
        <v>1278.0</v>
      </c>
      <c r="G277" s="6">
        <v>5373.0</v>
      </c>
      <c r="H277" s="6">
        <v>0.0</v>
      </c>
      <c r="I277" s="6">
        <v>234.0</v>
      </c>
      <c r="J277" s="6">
        <v>3369.0</v>
      </c>
      <c r="K277" s="6">
        <v>2.0</v>
      </c>
      <c r="L277" s="4" t="s">
        <v>133</v>
      </c>
      <c r="M277" s="6">
        <v>95000.0</v>
      </c>
      <c r="N277" s="6">
        <v>6000.0</v>
      </c>
      <c r="O277" s="6">
        <v>7000.0</v>
      </c>
      <c r="P277" s="6">
        <v>36000.0</v>
      </c>
      <c r="Q277" s="6">
        <v>6.0</v>
      </c>
      <c r="R277" s="6">
        <v>24.0</v>
      </c>
      <c r="S277" s="7"/>
      <c r="T277" s="6">
        <v>199.0</v>
      </c>
      <c r="U277" s="6">
        <v>9.0</v>
      </c>
      <c r="V277" s="7"/>
      <c r="W277" s="5">
        <v>20.0</v>
      </c>
      <c r="X277" s="8">
        <f t="shared" si="1"/>
        <v>0.1666666667</v>
      </c>
      <c r="Y277" s="9">
        <f t="shared" si="2"/>
        <v>42000</v>
      </c>
      <c r="Z277" s="8">
        <f t="shared" si="3"/>
        <v>4.694835681</v>
      </c>
      <c r="AA277" s="8">
        <f t="shared" si="4"/>
        <v>28.16901408</v>
      </c>
      <c r="AB277" s="8">
        <f t="shared" si="5"/>
        <v>0.1557120501</v>
      </c>
      <c r="AC277" s="8">
        <f t="shared" si="6"/>
        <v>25.64102564</v>
      </c>
      <c r="AD277" s="8">
        <f t="shared" si="7"/>
        <v>153.8461538</v>
      </c>
      <c r="AE277" s="8">
        <f t="shared" si="8"/>
        <v>0.8504273504</v>
      </c>
      <c r="AF277" s="8" t="str">
        <f t="shared" si="9"/>
        <v>#DIV/0!</v>
      </c>
      <c r="AG277" s="8" t="str">
        <f t="shared" si="10"/>
        <v>#DIV/0!</v>
      </c>
      <c r="AH277" s="8" t="str">
        <f t="shared" si="11"/>
        <v>#DIV/0!</v>
      </c>
      <c r="AI277" s="10">
        <f t="shared" si="12"/>
        <v>1.7809439</v>
      </c>
      <c r="AJ277" s="11">
        <f t="shared" si="13"/>
        <v>10.6856634</v>
      </c>
      <c r="AK277" s="12">
        <f t="shared" si="14"/>
        <v>0.05906797269</v>
      </c>
    </row>
    <row r="278">
      <c r="A278" s="4" t="s">
        <v>332</v>
      </c>
      <c r="B278" s="4" t="s">
        <v>317</v>
      </c>
      <c r="C278" s="4" t="s">
        <v>82</v>
      </c>
      <c r="D278" s="6">
        <v>8140.0</v>
      </c>
      <c r="E278" s="6">
        <v>1938.0</v>
      </c>
      <c r="F278" s="6">
        <v>1938.0</v>
      </c>
      <c r="G278" s="6">
        <v>8140.0</v>
      </c>
      <c r="H278" s="6">
        <v>0.0</v>
      </c>
      <c r="I278" s="6">
        <v>355.0</v>
      </c>
      <c r="J278" s="6">
        <v>5103.0</v>
      </c>
      <c r="K278" s="6">
        <v>2.0</v>
      </c>
      <c r="L278" s="4" t="s">
        <v>133</v>
      </c>
      <c r="M278" s="6">
        <v>144000.0</v>
      </c>
      <c r="N278" s="6">
        <v>8000.0</v>
      </c>
      <c r="O278" s="6">
        <v>7000.0</v>
      </c>
      <c r="P278" s="6">
        <v>48000.0</v>
      </c>
      <c r="Q278" s="6">
        <v>6.0</v>
      </c>
      <c r="R278" s="6">
        <v>34.0</v>
      </c>
      <c r="S278" s="7"/>
      <c r="T278" s="6">
        <v>253.0</v>
      </c>
      <c r="U278" s="6">
        <v>9.0</v>
      </c>
      <c r="V278" s="5">
        <v>44.0</v>
      </c>
      <c r="W278" s="7"/>
      <c r="X278" s="8">
        <f t="shared" si="1"/>
        <v>0.1666666667</v>
      </c>
      <c r="Y278" s="9">
        <f t="shared" si="2"/>
        <v>56000</v>
      </c>
      <c r="Z278" s="8">
        <f t="shared" si="3"/>
        <v>4.127966976</v>
      </c>
      <c r="AA278" s="8">
        <f t="shared" si="4"/>
        <v>24.76780186</v>
      </c>
      <c r="AB278" s="8">
        <f t="shared" si="5"/>
        <v>0.1305469556</v>
      </c>
      <c r="AC278" s="8">
        <f t="shared" si="6"/>
        <v>22.53521127</v>
      </c>
      <c r="AD278" s="8">
        <f t="shared" si="7"/>
        <v>135.2112676</v>
      </c>
      <c r="AE278" s="8">
        <f t="shared" si="8"/>
        <v>0.7126760563</v>
      </c>
      <c r="AF278" s="8" t="str">
        <f t="shared" si="9"/>
        <v>#DIV/0!</v>
      </c>
      <c r="AG278" s="8" t="str">
        <f t="shared" si="10"/>
        <v>#DIV/0!</v>
      </c>
      <c r="AH278" s="8" t="str">
        <f t="shared" si="11"/>
        <v>#DIV/0!</v>
      </c>
      <c r="AI278" s="10">
        <f t="shared" si="12"/>
        <v>1.567705271</v>
      </c>
      <c r="AJ278" s="11">
        <f t="shared" si="13"/>
        <v>9.406231628</v>
      </c>
      <c r="AK278" s="12">
        <f t="shared" si="14"/>
        <v>0.04957867921</v>
      </c>
    </row>
    <row r="279">
      <c r="A279" s="4" t="s">
        <v>333</v>
      </c>
      <c r="B279" s="4" t="s">
        <v>317</v>
      </c>
      <c r="C279" s="4" t="s">
        <v>82</v>
      </c>
      <c r="D279" s="6">
        <v>4911.0</v>
      </c>
      <c r="E279" s="6">
        <v>1168.0</v>
      </c>
      <c r="F279" s="6">
        <v>1168.0</v>
      </c>
      <c r="G279" s="6">
        <v>4911.0</v>
      </c>
      <c r="H279" s="6">
        <v>0.0</v>
      </c>
      <c r="I279" s="6">
        <v>214.0</v>
      </c>
      <c r="J279" s="6">
        <v>3078.0</v>
      </c>
      <c r="K279" s="6">
        <v>147.0</v>
      </c>
      <c r="L279" s="4" t="s">
        <v>133</v>
      </c>
      <c r="M279" s="6">
        <v>61000.0</v>
      </c>
      <c r="N279" s="6">
        <v>10000.0</v>
      </c>
      <c r="O279" s="6">
        <v>4000.0</v>
      </c>
      <c r="P279" s="6">
        <v>10000.0</v>
      </c>
      <c r="Q279" s="6">
        <v>5.0</v>
      </c>
      <c r="R279" s="6">
        <v>28.0</v>
      </c>
      <c r="S279" s="7"/>
      <c r="T279" s="6">
        <v>166.0</v>
      </c>
      <c r="U279" s="6">
        <v>119.0</v>
      </c>
      <c r="V279" s="5">
        <v>30.0</v>
      </c>
      <c r="W279" s="7"/>
      <c r="X279" s="8">
        <f t="shared" si="1"/>
        <v>1</v>
      </c>
      <c r="Y279" s="9">
        <f t="shared" si="2"/>
        <v>20000</v>
      </c>
      <c r="Z279" s="8">
        <f t="shared" si="3"/>
        <v>8.561643836</v>
      </c>
      <c r="AA279" s="8">
        <f t="shared" si="4"/>
        <v>8.561643836</v>
      </c>
      <c r="AB279" s="8">
        <f t="shared" si="5"/>
        <v>0.1421232877</v>
      </c>
      <c r="AC279" s="8">
        <f t="shared" si="6"/>
        <v>46.72897196</v>
      </c>
      <c r="AD279" s="8">
        <f t="shared" si="7"/>
        <v>46.72897196</v>
      </c>
      <c r="AE279" s="8">
        <f t="shared" si="8"/>
        <v>0.7757009346</v>
      </c>
      <c r="AF279" s="8" t="str">
        <f t="shared" si="9"/>
        <v>#DIV/0!</v>
      </c>
      <c r="AG279" s="8" t="str">
        <f t="shared" si="10"/>
        <v>#DIV/0!</v>
      </c>
      <c r="AH279" s="8" t="str">
        <f t="shared" si="11"/>
        <v>#DIV/0!</v>
      </c>
      <c r="AI279" s="10">
        <f t="shared" si="12"/>
        <v>3.248862898</v>
      </c>
      <c r="AJ279" s="11">
        <f t="shared" si="13"/>
        <v>3.248862898</v>
      </c>
      <c r="AK279" s="12">
        <f t="shared" si="14"/>
        <v>0.05393112411</v>
      </c>
    </row>
    <row r="280">
      <c r="A280" s="4" t="s">
        <v>334</v>
      </c>
      <c r="B280" s="4" t="s">
        <v>317</v>
      </c>
      <c r="C280" s="4" t="s">
        <v>92</v>
      </c>
      <c r="D280" s="6">
        <v>1117.0</v>
      </c>
      <c r="E280" s="6">
        <v>793.0</v>
      </c>
      <c r="F280" s="6">
        <v>793.0</v>
      </c>
      <c r="G280" s="6">
        <v>1117.0</v>
      </c>
      <c r="H280" s="6">
        <v>52.0</v>
      </c>
      <c r="I280" s="6">
        <v>145.0</v>
      </c>
      <c r="J280" s="6">
        <v>2091.0</v>
      </c>
      <c r="K280" s="6">
        <v>70.0</v>
      </c>
      <c r="L280" s="4" t="s">
        <v>133</v>
      </c>
      <c r="M280" s="6">
        <v>12000.0</v>
      </c>
      <c r="N280" s="6">
        <v>8000.0</v>
      </c>
      <c r="O280" s="6">
        <v>3000.0</v>
      </c>
      <c r="P280" s="6">
        <v>6000.0</v>
      </c>
      <c r="Q280" s="6">
        <v>6.0</v>
      </c>
      <c r="R280" s="6">
        <v>32.0</v>
      </c>
      <c r="S280" s="7"/>
      <c r="T280" s="6">
        <v>98.0</v>
      </c>
      <c r="U280" s="6">
        <v>179.0</v>
      </c>
      <c r="V280" s="5">
        <v>25.0</v>
      </c>
      <c r="W280" s="7"/>
      <c r="X280" s="8">
        <f t="shared" si="1"/>
        <v>1.333333333</v>
      </c>
      <c r="Y280" s="9">
        <f t="shared" si="2"/>
        <v>14000</v>
      </c>
      <c r="Z280" s="8">
        <f t="shared" si="3"/>
        <v>10.08827238</v>
      </c>
      <c r="AA280" s="8">
        <f t="shared" si="4"/>
        <v>7.566204288</v>
      </c>
      <c r="AB280" s="8">
        <f t="shared" si="5"/>
        <v>0.1235813367</v>
      </c>
      <c r="AC280" s="8">
        <f t="shared" si="6"/>
        <v>55.17241379</v>
      </c>
      <c r="AD280" s="8">
        <f t="shared" si="7"/>
        <v>41.37931034</v>
      </c>
      <c r="AE280" s="8">
        <f t="shared" si="8"/>
        <v>0.675862069</v>
      </c>
      <c r="AF280" s="8">
        <f t="shared" si="9"/>
        <v>153.8461538</v>
      </c>
      <c r="AG280" s="8">
        <f t="shared" si="10"/>
        <v>115.3846154</v>
      </c>
      <c r="AH280" s="8">
        <f t="shared" si="11"/>
        <v>1.884615385</v>
      </c>
      <c r="AI280" s="10">
        <f t="shared" si="12"/>
        <v>3.825920612</v>
      </c>
      <c r="AJ280" s="11">
        <f t="shared" si="13"/>
        <v>2.869440459</v>
      </c>
      <c r="AK280" s="12">
        <f t="shared" si="14"/>
        <v>0.0468675275</v>
      </c>
    </row>
    <row r="281">
      <c r="A281" s="4" t="s">
        <v>335</v>
      </c>
      <c r="B281" s="4" t="s">
        <v>317</v>
      </c>
      <c r="C281" s="4" t="s">
        <v>56</v>
      </c>
      <c r="D281" s="6">
        <v>4390.0</v>
      </c>
      <c r="E281" s="6">
        <v>1043.0</v>
      </c>
      <c r="F281" s="6">
        <v>1043.0</v>
      </c>
      <c r="G281" s="6">
        <v>4390.0</v>
      </c>
      <c r="H281" s="6">
        <v>42.0</v>
      </c>
      <c r="I281" s="6">
        <v>197.0</v>
      </c>
      <c r="J281" s="6">
        <v>2837.0</v>
      </c>
      <c r="K281" s="6">
        <v>154.0</v>
      </c>
      <c r="L281" s="4" t="s">
        <v>133</v>
      </c>
      <c r="M281" s="6">
        <v>16000.0</v>
      </c>
      <c r="N281" s="6">
        <v>10000.0</v>
      </c>
      <c r="O281" s="6">
        <v>4000.0</v>
      </c>
      <c r="P281" s="6">
        <v>9000.0</v>
      </c>
      <c r="Q281" s="6">
        <v>6.0</v>
      </c>
      <c r="R281" s="6">
        <v>19.0</v>
      </c>
      <c r="S281" s="7"/>
      <c r="T281" s="6">
        <v>58.0</v>
      </c>
      <c r="U281" s="6">
        <v>119.0</v>
      </c>
      <c r="V281" s="5">
        <v>20.0</v>
      </c>
      <c r="W281" s="7"/>
      <c r="X281" s="8">
        <f t="shared" si="1"/>
        <v>1.111111111</v>
      </c>
      <c r="Y281" s="9">
        <f t="shared" si="2"/>
        <v>19000</v>
      </c>
      <c r="Z281" s="8">
        <f t="shared" si="3"/>
        <v>9.587727709</v>
      </c>
      <c r="AA281" s="8">
        <f t="shared" si="4"/>
        <v>8.628954938</v>
      </c>
      <c r="AB281" s="8">
        <f t="shared" si="5"/>
        <v>0.05560882071</v>
      </c>
      <c r="AC281" s="8">
        <f t="shared" si="6"/>
        <v>50.76142132</v>
      </c>
      <c r="AD281" s="8">
        <f t="shared" si="7"/>
        <v>45.68527919</v>
      </c>
      <c r="AE281" s="8">
        <f t="shared" si="8"/>
        <v>0.2944162437</v>
      </c>
      <c r="AF281" s="8">
        <f t="shared" si="9"/>
        <v>238.0952381</v>
      </c>
      <c r="AG281" s="8">
        <f t="shared" si="10"/>
        <v>214.2857143</v>
      </c>
      <c r="AH281" s="8">
        <f t="shared" si="11"/>
        <v>1.380952381</v>
      </c>
      <c r="AI281" s="10">
        <f t="shared" si="12"/>
        <v>3.524850194</v>
      </c>
      <c r="AJ281" s="11">
        <f t="shared" si="13"/>
        <v>3.172365174</v>
      </c>
      <c r="AK281" s="12">
        <f t="shared" si="14"/>
        <v>0.02044413112</v>
      </c>
    </row>
    <row r="282">
      <c r="A282" s="4" t="s">
        <v>336</v>
      </c>
      <c r="B282" s="4" t="s">
        <v>317</v>
      </c>
      <c r="C282" s="4" t="s">
        <v>64</v>
      </c>
      <c r="D282" s="6">
        <v>4579.0</v>
      </c>
      <c r="E282" s="6">
        <v>1089.0</v>
      </c>
      <c r="F282" s="6">
        <v>1089.0</v>
      </c>
      <c r="G282" s="6">
        <v>4579.0</v>
      </c>
      <c r="H282" s="6">
        <v>46.0</v>
      </c>
      <c r="I282" s="6">
        <v>200.0</v>
      </c>
      <c r="J282" s="6">
        <v>2872.0</v>
      </c>
      <c r="K282" s="6">
        <v>84.0</v>
      </c>
      <c r="L282" s="4" t="s">
        <v>133</v>
      </c>
      <c r="M282" s="6">
        <v>23000.0</v>
      </c>
      <c r="N282" s="6">
        <v>8000.0</v>
      </c>
      <c r="O282" s="6">
        <v>4000.0</v>
      </c>
      <c r="P282" s="6">
        <v>13000.0</v>
      </c>
      <c r="Q282" s="6">
        <v>6.0</v>
      </c>
      <c r="R282" s="6">
        <v>24.0</v>
      </c>
      <c r="S282" s="7"/>
      <c r="T282" s="6">
        <v>74.0</v>
      </c>
      <c r="U282" s="6">
        <v>134.0</v>
      </c>
      <c r="V282" s="5">
        <v>35.0</v>
      </c>
      <c r="W282" s="7"/>
      <c r="X282" s="8">
        <f t="shared" si="1"/>
        <v>0.6153846154</v>
      </c>
      <c r="Y282" s="9">
        <f t="shared" si="2"/>
        <v>21000</v>
      </c>
      <c r="Z282" s="8">
        <f t="shared" si="3"/>
        <v>7.346189164</v>
      </c>
      <c r="AA282" s="8">
        <f t="shared" si="4"/>
        <v>11.93755739</v>
      </c>
      <c r="AB282" s="8">
        <f t="shared" si="5"/>
        <v>0.06795224977</v>
      </c>
      <c r="AC282" s="8">
        <f t="shared" si="6"/>
        <v>40</v>
      </c>
      <c r="AD282" s="8">
        <f t="shared" si="7"/>
        <v>65</v>
      </c>
      <c r="AE282" s="8">
        <f t="shared" si="8"/>
        <v>0.37</v>
      </c>
      <c r="AF282" s="8">
        <f t="shared" si="9"/>
        <v>173.9130435</v>
      </c>
      <c r="AG282" s="8">
        <f t="shared" si="10"/>
        <v>282.6086957</v>
      </c>
      <c r="AH282" s="8">
        <f t="shared" si="11"/>
        <v>1.608695652</v>
      </c>
      <c r="AI282" s="10">
        <f t="shared" si="12"/>
        <v>2.78551532</v>
      </c>
      <c r="AJ282" s="11">
        <f t="shared" si="13"/>
        <v>4.526462396</v>
      </c>
      <c r="AK282" s="12">
        <f t="shared" si="14"/>
        <v>0.02576601671</v>
      </c>
    </row>
    <row r="283">
      <c r="A283" s="4" t="s">
        <v>337</v>
      </c>
      <c r="B283" s="4" t="s">
        <v>317</v>
      </c>
      <c r="C283" s="4" t="s">
        <v>49</v>
      </c>
      <c r="D283" s="6">
        <v>12348.0</v>
      </c>
      <c r="E283" s="6">
        <v>2940.0</v>
      </c>
      <c r="F283" s="6">
        <v>2940.0</v>
      </c>
      <c r="G283" s="6">
        <v>12348.0</v>
      </c>
      <c r="H283" s="6">
        <v>70.0</v>
      </c>
      <c r="I283" s="6">
        <v>539.0</v>
      </c>
      <c r="J283" s="6">
        <v>7741.0</v>
      </c>
      <c r="K283" s="6">
        <v>121.0</v>
      </c>
      <c r="L283" s="4" t="s">
        <v>133</v>
      </c>
      <c r="M283" s="6">
        <v>36000.0</v>
      </c>
      <c r="N283" s="6">
        <v>18000.0</v>
      </c>
      <c r="O283" s="6">
        <v>9000.0</v>
      </c>
      <c r="P283" s="6">
        <v>21000.0</v>
      </c>
      <c r="Q283" s="6">
        <v>6.0</v>
      </c>
      <c r="R283" s="6">
        <v>24.0</v>
      </c>
      <c r="S283" s="7"/>
      <c r="T283" s="6">
        <v>217.0</v>
      </c>
      <c r="U283" s="6">
        <v>119.0</v>
      </c>
      <c r="V283" s="5">
        <v>50.0</v>
      </c>
      <c r="W283" s="7"/>
      <c r="X283" s="8">
        <f t="shared" si="1"/>
        <v>0.8571428571</v>
      </c>
      <c r="Y283" s="9">
        <f t="shared" si="2"/>
        <v>39000</v>
      </c>
      <c r="Z283" s="8">
        <f t="shared" si="3"/>
        <v>6.12244898</v>
      </c>
      <c r="AA283" s="8">
        <f t="shared" si="4"/>
        <v>7.142857143</v>
      </c>
      <c r="AB283" s="8">
        <f t="shared" si="5"/>
        <v>0.07380952381</v>
      </c>
      <c r="AC283" s="8">
        <f t="shared" si="6"/>
        <v>33.39517625</v>
      </c>
      <c r="AD283" s="8">
        <f t="shared" si="7"/>
        <v>38.96103896</v>
      </c>
      <c r="AE283" s="8">
        <f t="shared" si="8"/>
        <v>0.4025974026</v>
      </c>
      <c r="AF283" s="8">
        <f t="shared" si="9"/>
        <v>257.1428571</v>
      </c>
      <c r="AG283" s="8">
        <f t="shared" si="10"/>
        <v>300</v>
      </c>
      <c r="AH283" s="8">
        <f t="shared" si="11"/>
        <v>3.1</v>
      </c>
      <c r="AI283" s="10">
        <f t="shared" si="12"/>
        <v>2.325280971</v>
      </c>
      <c r="AJ283" s="11">
        <f t="shared" si="13"/>
        <v>2.7128278</v>
      </c>
      <c r="AK283" s="12">
        <f t="shared" si="14"/>
        <v>0.02803255393</v>
      </c>
    </row>
    <row r="284">
      <c r="A284" s="4" t="s">
        <v>338</v>
      </c>
      <c r="B284" s="4" t="s">
        <v>317</v>
      </c>
      <c r="C284" s="4" t="s">
        <v>49</v>
      </c>
      <c r="D284" s="6">
        <v>7072.0</v>
      </c>
      <c r="E284" s="6">
        <v>1684.0</v>
      </c>
      <c r="F284" s="6">
        <v>1684.0</v>
      </c>
      <c r="G284" s="6">
        <v>7072.0</v>
      </c>
      <c r="H284" s="6">
        <v>31.0</v>
      </c>
      <c r="I284" s="6">
        <v>308.0</v>
      </c>
      <c r="J284" s="6">
        <v>4434.0</v>
      </c>
      <c r="K284" s="6">
        <v>96.0</v>
      </c>
      <c r="L284" s="4" t="s">
        <v>133</v>
      </c>
      <c r="M284" s="6">
        <v>16000.0</v>
      </c>
      <c r="N284" s="6">
        <v>16000.0</v>
      </c>
      <c r="O284" s="6">
        <v>6000.0</v>
      </c>
      <c r="P284" s="6">
        <v>9000.0</v>
      </c>
      <c r="Q284" s="6">
        <v>6.0</v>
      </c>
      <c r="R284" s="6">
        <v>36.0</v>
      </c>
      <c r="S284" s="7"/>
      <c r="T284" s="6">
        <v>168.0</v>
      </c>
      <c r="U284" s="6">
        <v>172.0</v>
      </c>
      <c r="V284" s="5">
        <v>40.0</v>
      </c>
      <c r="W284" s="7"/>
      <c r="X284" s="8">
        <f t="shared" si="1"/>
        <v>1.777777778</v>
      </c>
      <c r="Y284" s="9">
        <f t="shared" si="2"/>
        <v>25000</v>
      </c>
      <c r="Z284" s="8">
        <f t="shared" si="3"/>
        <v>9.501187648</v>
      </c>
      <c r="AA284" s="8">
        <f t="shared" si="4"/>
        <v>5.344418052</v>
      </c>
      <c r="AB284" s="8">
        <f t="shared" si="5"/>
        <v>0.09976247031</v>
      </c>
      <c r="AC284" s="8">
        <f t="shared" si="6"/>
        <v>51.94805195</v>
      </c>
      <c r="AD284" s="8">
        <f t="shared" si="7"/>
        <v>29.22077922</v>
      </c>
      <c r="AE284" s="8">
        <f t="shared" si="8"/>
        <v>0.5454545455</v>
      </c>
      <c r="AF284" s="8">
        <f t="shared" si="9"/>
        <v>516.1290323</v>
      </c>
      <c r="AG284" s="8">
        <f t="shared" si="10"/>
        <v>290.3225806</v>
      </c>
      <c r="AH284" s="8">
        <f t="shared" si="11"/>
        <v>5.419354839</v>
      </c>
      <c r="AI284" s="10">
        <f t="shared" si="12"/>
        <v>3.608479928</v>
      </c>
      <c r="AJ284" s="11">
        <f t="shared" si="13"/>
        <v>2.029769959</v>
      </c>
      <c r="AK284" s="12">
        <f t="shared" si="14"/>
        <v>0.03788903924</v>
      </c>
    </row>
    <row r="285">
      <c r="A285" s="4" t="s">
        <v>339</v>
      </c>
      <c r="B285" s="4" t="s">
        <v>317</v>
      </c>
      <c r="C285" s="4" t="s">
        <v>60</v>
      </c>
      <c r="D285" s="6">
        <v>3537.0</v>
      </c>
      <c r="E285" s="6">
        <v>840.0</v>
      </c>
      <c r="F285" s="6">
        <v>840.0</v>
      </c>
      <c r="G285" s="6">
        <v>3537.0</v>
      </c>
      <c r="H285" s="6">
        <v>20.0</v>
      </c>
      <c r="I285" s="6">
        <v>149.0</v>
      </c>
      <c r="J285" s="6">
        <v>2152.0</v>
      </c>
      <c r="K285" s="6">
        <v>84.0</v>
      </c>
      <c r="L285" s="4" t="s">
        <v>133</v>
      </c>
      <c r="M285" s="6">
        <v>12000.0</v>
      </c>
      <c r="N285" s="6">
        <v>8000.0</v>
      </c>
      <c r="O285" s="6">
        <v>3000.0</v>
      </c>
      <c r="P285" s="6">
        <v>6000.0</v>
      </c>
      <c r="Q285" s="6">
        <v>6.0</v>
      </c>
      <c r="R285" s="6">
        <v>20.0</v>
      </c>
      <c r="S285" s="7"/>
      <c r="T285" s="6">
        <v>61.0</v>
      </c>
      <c r="U285" s="6">
        <v>164.0</v>
      </c>
      <c r="V285" s="5">
        <v>25.0</v>
      </c>
      <c r="W285" s="7"/>
      <c r="X285" s="8">
        <f t="shared" si="1"/>
        <v>1.333333333</v>
      </c>
      <c r="Y285" s="9">
        <f t="shared" si="2"/>
        <v>14000</v>
      </c>
      <c r="Z285" s="8">
        <f t="shared" si="3"/>
        <v>9.523809524</v>
      </c>
      <c r="AA285" s="8">
        <f t="shared" si="4"/>
        <v>7.142857143</v>
      </c>
      <c r="AB285" s="8">
        <f t="shared" si="5"/>
        <v>0.07261904762</v>
      </c>
      <c r="AC285" s="8">
        <f t="shared" si="6"/>
        <v>53.69127517</v>
      </c>
      <c r="AD285" s="8">
        <f t="shared" si="7"/>
        <v>40.26845638</v>
      </c>
      <c r="AE285" s="8">
        <f t="shared" si="8"/>
        <v>0.4093959732</v>
      </c>
      <c r="AF285" s="8">
        <f t="shared" si="9"/>
        <v>400</v>
      </c>
      <c r="AG285" s="8">
        <f t="shared" si="10"/>
        <v>300</v>
      </c>
      <c r="AH285" s="8">
        <f t="shared" si="11"/>
        <v>3.05</v>
      </c>
      <c r="AI285" s="10">
        <f t="shared" si="12"/>
        <v>3.717472119</v>
      </c>
      <c r="AJ285" s="11">
        <f t="shared" si="13"/>
        <v>2.788104089</v>
      </c>
      <c r="AK285" s="12">
        <f t="shared" si="14"/>
        <v>0.02834572491</v>
      </c>
    </row>
    <row r="286">
      <c r="A286" s="4" t="s">
        <v>340</v>
      </c>
      <c r="B286" s="4" t="s">
        <v>341</v>
      </c>
      <c r="C286" s="4" t="s">
        <v>73</v>
      </c>
      <c r="D286" s="6">
        <v>1007.0</v>
      </c>
      <c r="E286" s="6">
        <v>238.0</v>
      </c>
      <c r="F286" s="6">
        <v>238.0</v>
      </c>
      <c r="G286" s="6">
        <v>1007.0</v>
      </c>
      <c r="H286" s="6">
        <v>2.0</v>
      </c>
      <c r="I286" s="6">
        <v>44.0</v>
      </c>
      <c r="J286" s="6">
        <v>468.0</v>
      </c>
      <c r="K286" s="6">
        <v>292.0</v>
      </c>
      <c r="L286" s="4" t="s">
        <v>50</v>
      </c>
      <c r="M286" s="6">
        <v>740.0</v>
      </c>
      <c r="N286" s="6">
        <v>250.0</v>
      </c>
      <c r="O286" s="6">
        <v>300.0</v>
      </c>
      <c r="P286" s="6">
        <v>201.0</v>
      </c>
      <c r="Q286" s="6">
        <v>3.0</v>
      </c>
      <c r="R286" s="6">
        <v>8.0</v>
      </c>
      <c r="S286" s="7"/>
      <c r="T286" s="6">
        <v>22.0</v>
      </c>
      <c r="U286" s="6">
        <v>1829.0</v>
      </c>
      <c r="V286" s="7"/>
      <c r="W286" s="7"/>
      <c r="X286" s="8">
        <f t="shared" si="1"/>
        <v>1.243781095</v>
      </c>
      <c r="Y286" s="9">
        <f t="shared" si="2"/>
        <v>451</v>
      </c>
      <c r="Z286" s="8">
        <f t="shared" si="3"/>
        <v>1.050420168</v>
      </c>
      <c r="AA286" s="8">
        <f t="shared" si="4"/>
        <v>0.8445378151</v>
      </c>
      <c r="AB286" s="8">
        <f t="shared" si="5"/>
        <v>0.09243697479</v>
      </c>
      <c r="AC286" s="8">
        <f t="shared" si="6"/>
        <v>5.681818182</v>
      </c>
      <c r="AD286" s="8">
        <f t="shared" si="7"/>
        <v>4.568181818</v>
      </c>
      <c r="AE286" s="8">
        <f t="shared" si="8"/>
        <v>0.5</v>
      </c>
      <c r="AF286" s="8">
        <f t="shared" si="9"/>
        <v>125</v>
      </c>
      <c r="AG286" s="8">
        <f t="shared" si="10"/>
        <v>100.5</v>
      </c>
      <c r="AH286" s="8">
        <f t="shared" si="11"/>
        <v>11</v>
      </c>
      <c r="AI286" s="10">
        <f t="shared" si="12"/>
        <v>0.5341880342</v>
      </c>
      <c r="AJ286" s="11">
        <f t="shared" si="13"/>
        <v>0.4294871795</v>
      </c>
      <c r="AK286" s="12">
        <f t="shared" si="14"/>
        <v>0.04700854701</v>
      </c>
    </row>
    <row r="287">
      <c r="A287" s="4" t="s">
        <v>342</v>
      </c>
      <c r="B287" s="4" t="s">
        <v>341</v>
      </c>
      <c r="C287" s="4" t="s">
        <v>56</v>
      </c>
      <c r="D287" s="6">
        <v>1405.0</v>
      </c>
      <c r="E287" s="6">
        <v>333.0</v>
      </c>
      <c r="F287" s="6">
        <v>333.0</v>
      </c>
      <c r="G287" s="6">
        <v>1405.0</v>
      </c>
      <c r="H287" s="6">
        <v>4.0</v>
      </c>
      <c r="I287" s="6">
        <v>63.0</v>
      </c>
      <c r="J287" s="6">
        <v>908.0</v>
      </c>
      <c r="K287" s="6">
        <v>239.0</v>
      </c>
      <c r="L287" s="4" t="s">
        <v>50</v>
      </c>
      <c r="M287" s="6">
        <v>1575.0</v>
      </c>
      <c r="N287" s="6">
        <v>1000.0</v>
      </c>
      <c r="O287" s="6">
        <v>810.0</v>
      </c>
      <c r="P287" s="6">
        <v>361.0</v>
      </c>
      <c r="Q287" s="6">
        <v>3.0</v>
      </c>
      <c r="R287" s="6">
        <v>12.0</v>
      </c>
      <c r="S287" s="7"/>
      <c r="T287" s="6">
        <v>32.0</v>
      </c>
      <c r="U287" s="6">
        <v>562.0</v>
      </c>
      <c r="V287" s="7"/>
      <c r="W287" s="7"/>
      <c r="X287" s="8">
        <f t="shared" si="1"/>
        <v>2.770083102</v>
      </c>
      <c r="Y287" s="9">
        <f t="shared" si="2"/>
        <v>1361</v>
      </c>
      <c r="Z287" s="8">
        <f t="shared" si="3"/>
        <v>3.003003003</v>
      </c>
      <c r="AA287" s="8">
        <f t="shared" si="4"/>
        <v>1.084084084</v>
      </c>
      <c r="AB287" s="8">
        <f t="shared" si="5"/>
        <v>0.0960960961</v>
      </c>
      <c r="AC287" s="8">
        <f t="shared" si="6"/>
        <v>15.87301587</v>
      </c>
      <c r="AD287" s="8">
        <f t="shared" si="7"/>
        <v>5.73015873</v>
      </c>
      <c r="AE287" s="8">
        <f t="shared" si="8"/>
        <v>0.5079365079</v>
      </c>
      <c r="AF287" s="8">
        <f t="shared" si="9"/>
        <v>250</v>
      </c>
      <c r="AG287" s="8">
        <f t="shared" si="10"/>
        <v>90.25</v>
      </c>
      <c r="AH287" s="8">
        <f t="shared" si="11"/>
        <v>8</v>
      </c>
      <c r="AI287" s="10">
        <f t="shared" si="12"/>
        <v>1.101321586</v>
      </c>
      <c r="AJ287" s="11">
        <f t="shared" si="13"/>
        <v>0.3975770925</v>
      </c>
      <c r="AK287" s="12">
        <f t="shared" si="14"/>
        <v>0.03524229075</v>
      </c>
    </row>
    <row r="288">
      <c r="A288" s="4" t="s">
        <v>343</v>
      </c>
      <c r="B288" s="4" t="s">
        <v>341</v>
      </c>
      <c r="C288" s="4" t="s">
        <v>92</v>
      </c>
      <c r="D288" s="6">
        <v>1054.0</v>
      </c>
      <c r="E288" s="6">
        <v>250.0</v>
      </c>
      <c r="F288" s="6">
        <v>250.0</v>
      </c>
      <c r="G288" s="6">
        <v>1054.0</v>
      </c>
      <c r="H288" s="6">
        <v>8.0</v>
      </c>
      <c r="I288" s="6">
        <v>46.0</v>
      </c>
      <c r="J288" s="6">
        <v>660.0</v>
      </c>
      <c r="K288" s="6">
        <v>180.0</v>
      </c>
      <c r="L288" s="4" t="s">
        <v>50</v>
      </c>
      <c r="M288" s="6">
        <v>1080.0</v>
      </c>
      <c r="N288" s="6">
        <v>400.0</v>
      </c>
      <c r="O288" s="6">
        <v>400.0</v>
      </c>
      <c r="P288" s="6">
        <v>305.0</v>
      </c>
      <c r="Q288" s="6">
        <v>3.0</v>
      </c>
      <c r="R288" s="6">
        <v>11.0</v>
      </c>
      <c r="S288" s="7"/>
      <c r="T288" s="6">
        <v>31.0</v>
      </c>
      <c r="U288" s="6">
        <v>562.0</v>
      </c>
      <c r="V288" s="7"/>
      <c r="W288" s="7"/>
      <c r="X288" s="8">
        <f t="shared" si="1"/>
        <v>1.31147541</v>
      </c>
      <c r="Y288" s="9">
        <f t="shared" si="2"/>
        <v>705</v>
      </c>
      <c r="Z288" s="8">
        <f t="shared" si="3"/>
        <v>1.6</v>
      </c>
      <c r="AA288" s="8">
        <f t="shared" si="4"/>
        <v>1.22</v>
      </c>
      <c r="AB288" s="8">
        <f t="shared" si="5"/>
        <v>0.124</v>
      </c>
      <c r="AC288" s="8">
        <f t="shared" si="6"/>
        <v>8.695652174</v>
      </c>
      <c r="AD288" s="8">
        <f t="shared" si="7"/>
        <v>6.630434783</v>
      </c>
      <c r="AE288" s="8">
        <f t="shared" si="8"/>
        <v>0.6739130435</v>
      </c>
      <c r="AF288" s="8">
        <f t="shared" si="9"/>
        <v>50</v>
      </c>
      <c r="AG288" s="8">
        <f t="shared" si="10"/>
        <v>38.125</v>
      </c>
      <c r="AH288" s="8">
        <f t="shared" si="11"/>
        <v>3.875</v>
      </c>
      <c r="AI288" s="10">
        <f t="shared" si="12"/>
        <v>0.6060606061</v>
      </c>
      <c r="AJ288" s="11">
        <f t="shared" si="13"/>
        <v>0.4621212121</v>
      </c>
      <c r="AK288" s="12">
        <f t="shared" si="14"/>
        <v>0.04696969697</v>
      </c>
    </row>
    <row r="289">
      <c r="A289" s="4" t="s">
        <v>343</v>
      </c>
      <c r="B289" s="4" t="s">
        <v>341</v>
      </c>
      <c r="C289" s="4" t="s">
        <v>73</v>
      </c>
      <c r="D289" s="6">
        <v>995.0</v>
      </c>
      <c r="E289" s="6">
        <v>236.0</v>
      </c>
      <c r="F289" s="6">
        <v>236.0</v>
      </c>
      <c r="G289" s="6">
        <v>995.0</v>
      </c>
      <c r="H289" s="6">
        <v>4.0</v>
      </c>
      <c r="I289" s="6">
        <v>43.0</v>
      </c>
      <c r="J289" s="6">
        <v>461.0</v>
      </c>
      <c r="K289" s="6">
        <v>180.0</v>
      </c>
      <c r="L289" s="4" t="s">
        <v>50</v>
      </c>
      <c r="M289" s="6">
        <v>960.0</v>
      </c>
      <c r="N289" s="6">
        <v>400.0</v>
      </c>
      <c r="O289" s="6">
        <v>400.0</v>
      </c>
      <c r="P289" s="6">
        <v>254.0</v>
      </c>
      <c r="Q289" s="6">
        <v>3.0</v>
      </c>
      <c r="R289" s="6">
        <v>11.0</v>
      </c>
      <c r="S289" s="7"/>
      <c r="T289" s="6">
        <v>31.0</v>
      </c>
      <c r="U289" s="6">
        <v>562.0</v>
      </c>
      <c r="V289" s="7"/>
      <c r="W289" s="7"/>
      <c r="X289" s="8">
        <f t="shared" si="1"/>
        <v>1.57480315</v>
      </c>
      <c r="Y289" s="9">
        <f t="shared" si="2"/>
        <v>654</v>
      </c>
      <c r="Z289" s="8">
        <f t="shared" si="3"/>
        <v>1.694915254</v>
      </c>
      <c r="AA289" s="8">
        <f t="shared" si="4"/>
        <v>1.076271186</v>
      </c>
      <c r="AB289" s="8">
        <f t="shared" si="5"/>
        <v>0.1313559322</v>
      </c>
      <c r="AC289" s="8">
        <f t="shared" si="6"/>
        <v>9.302325581</v>
      </c>
      <c r="AD289" s="8">
        <f t="shared" si="7"/>
        <v>5.906976744</v>
      </c>
      <c r="AE289" s="8">
        <f t="shared" si="8"/>
        <v>0.7209302326</v>
      </c>
      <c r="AF289" s="8">
        <f t="shared" si="9"/>
        <v>100</v>
      </c>
      <c r="AG289" s="8">
        <f t="shared" si="10"/>
        <v>63.5</v>
      </c>
      <c r="AH289" s="8">
        <f t="shared" si="11"/>
        <v>7.75</v>
      </c>
      <c r="AI289" s="10">
        <f t="shared" si="12"/>
        <v>0.8676789588</v>
      </c>
      <c r="AJ289" s="11">
        <f t="shared" si="13"/>
        <v>0.5509761388</v>
      </c>
      <c r="AK289" s="12">
        <f t="shared" si="14"/>
        <v>0.06724511931</v>
      </c>
    </row>
    <row r="290">
      <c r="A290" s="4" t="s">
        <v>344</v>
      </c>
      <c r="B290" s="4" t="s">
        <v>341</v>
      </c>
      <c r="C290" s="4" t="s">
        <v>171</v>
      </c>
      <c r="D290" s="6">
        <v>1332.0</v>
      </c>
      <c r="E290" s="6">
        <v>316.0</v>
      </c>
      <c r="F290" s="6">
        <v>316.0</v>
      </c>
      <c r="G290" s="6">
        <v>1332.0</v>
      </c>
      <c r="H290" s="6">
        <v>6.0</v>
      </c>
      <c r="I290" s="6">
        <v>58.0</v>
      </c>
      <c r="J290" s="6">
        <v>835.0</v>
      </c>
      <c r="K290" s="6">
        <v>203.0</v>
      </c>
      <c r="L290" s="7"/>
      <c r="M290" s="6">
        <v>1650.0</v>
      </c>
      <c r="N290" s="6">
        <v>250.0</v>
      </c>
      <c r="O290" s="6">
        <v>300.0</v>
      </c>
      <c r="P290" s="6">
        <v>362.0</v>
      </c>
      <c r="Q290" s="6">
        <v>2.0</v>
      </c>
      <c r="R290" s="6">
        <v>15.0</v>
      </c>
      <c r="S290" s="7"/>
      <c r="T290" s="6">
        <v>60.0</v>
      </c>
      <c r="U290" s="6">
        <v>449.0</v>
      </c>
      <c r="V290" s="7"/>
      <c r="W290" s="7"/>
      <c r="X290" s="8">
        <f t="shared" si="1"/>
        <v>0.6906077348</v>
      </c>
      <c r="Y290" s="9">
        <f t="shared" si="2"/>
        <v>612</v>
      </c>
      <c r="Z290" s="8">
        <f t="shared" si="3"/>
        <v>0.7911392405</v>
      </c>
      <c r="AA290" s="8">
        <f t="shared" si="4"/>
        <v>1.14556962</v>
      </c>
      <c r="AB290" s="8">
        <f t="shared" si="5"/>
        <v>0.1898734177</v>
      </c>
      <c r="AC290" s="8">
        <f t="shared" si="6"/>
        <v>4.310344828</v>
      </c>
      <c r="AD290" s="8">
        <f t="shared" si="7"/>
        <v>6.24137931</v>
      </c>
      <c r="AE290" s="8">
        <f t="shared" si="8"/>
        <v>1.034482759</v>
      </c>
      <c r="AF290" s="8">
        <f t="shared" si="9"/>
        <v>41.66666667</v>
      </c>
      <c r="AG290" s="8">
        <f t="shared" si="10"/>
        <v>60.33333333</v>
      </c>
      <c r="AH290" s="8">
        <f t="shared" si="11"/>
        <v>10</v>
      </c>
      <c r="AI290" s="10">
        <f t="shared" si="12"/>
        <v>0.2994011976</v>
      </c>
      <c r="AJ290" s="11">
        <f t="shared" si="13"/>
        <v>0.4335329341</v>
      </c>
      <c r="AK290" s="12">
        <f t="shared" si="14"/>
        <v>0.07185628743</v>
      </c>
    </row>
    <row r="291">
      <c r="A291" s="4" t="s">
        <v>345</v>
      </c>
      <c r="B291" s="4" t="s">
        <v>341</v>
      </c>
      <c r="C291" s="4" t="s">
        <v>56</v>
      </c>
      <c r="D291" s="6">
        <v>887.0</v>
      </c>
      <c r="E291" s="6">
        <v>210.0</v>
      </c>
      <c r="F291" s="6">
        <v>210.0</v>
      </c>
      <c r="G291" s="6">
        <v>887.0</v>
      </c>
      <c r="H291" s="6">
        <v>4.0</v>
      </c>
      <c r="I291" s="6">
        <v>40.0</v>
      </c>
      <c r="J291" s="6">
        <v>574.0</v>
      </c>
      <c r="K291" s="6">
        <v>244.0</v>
      </c>
      <c r="L291" s="4" t="s">
        <v>50</v>
      </c>
      <c r="M291" s="6">
        <v>1320.0</v>
      </c>
      <c r="N291" s="6">
        <v>400.0</v>
      </c>
      <c r="O291" s="6">
        <v>600.0</v>
      </c>
      <c r="P291" s="6">
        <v>307.0</v>
      </c>
      <c r="Q291" s="6">
        <v>1.0</v>
      </c>
      <c r="R291" s="6">
        <v>9.0</v>
      </c>
      <c r="S291" s="7"/>
      <c r="T291" s="6">
        <v>24.0</v>
      </c>
      <c r="U291" s="6">
        <v>506.0</v>
      </c>
      <c r="V291" s="7"/>
      <c r="W291" s="7"/>
      <c r="X291" s="8">
        <f t="shared" si="1"/>
        <v>1.302931596</v>
      </c>
      <c r="Y291" s="9">
        <f t="shared" si="2"/>
        <v>707</v>
      </c>
      <c r="Z291" s="8">
        <f t="shared" si="3"/>
        <v>1.904761905</v>
      </c>
      <c r="AA291" s="8">
        <f t="shared" si="4"/>
        <v>1.461904762</v>
      </c>
      <c r="AB291" s="8">
        <f t="shared" si="5"/>
        <v>0.1142857143</v>
      </c>
      <c r="AC291" s="8">
        <f t="shared" si="6"/>
        <v>10</v>
      </c>
      <c r="AD291" s="8">
        <f t="shared" si="7"/>
        <v>7.675</v>
      </c>
      <c r="AE291" s="8">
        <f t="shared" si="8"/>
        <v>0.6</v>
      </c>
      <c r="AF291" s="8">
        <f t="shared" si="9"/>
        <v>100</v>
      </c>
      <c r="AG291" s="8">
        <f t="shared" si="10"/>
        <v>76.75</v>
      </c>
      <c r="AH291" s="8">
        <f t="shared" si="11"/>
        <v>6</v>
      </c>
      <c r="AI291" s="10">
        <f t="shared" si="12"/>
        <v>0.6968641115</v>
      </c>
      <c r="AJ291" s="11">
        <f t="shared" si="13"/>
        <v>0.5348432056</v>
      </c>
      <c r="AK291" s="12">
        <f t="shared" si="14"/>
        <v>0.04181184669</v>
      </c>
    </row>
    <row r="292">
      <c r="A292" s="4" t="s">
        <v>346</v>
      </c>
      <c r="B292" s="4" t="s">
        <v>341</v>
      </c>
      <c r="C292" s="4" t="s">
        <v>56</v>
      </c>
      <c r="D292" s="6">
        <v>1069.0</v>
      </c>
      <c r="E292" s="6">
        <v>253.0</v>
      </c>
      <c r="F292" s="6">
        <v>253.0</v>
      </c>
      <c r="G292" s="6">
        <v>1069.0</v>
      </c>
      <c r="H292" s="6">
        <v>4.0</v>
      </c>
      <c r="I292" s="6">
        <v>48.0</v>
      </c>
      <c r="J292" s="6">
        <v>691.0</v>
      </c>
      <c r="K292" s="6">
        <v>244.0</v>
      </c>
      <c r="L292" s="4" t="s">
        <v>50</v>
      </c>
      <c r="M292" s="6">
        <v>1320.0</v>
      </c>
      <c r="N292" s="6">
        <v>400.0</v>
      </c>
      <c r="O292" s="6">
        <v>600.0</v>
      </c>
      <c r="P292" s="6">
        <v>409.0</v>
      </c>
      <c r="Q292" s="6">
        <v>1.0</v>
      </c>
      <c r="R292" s="6">
        <v>9.0</v>
      </c>
      <c r="S292" s="7"/>
      <c r="T292" s="6">
        <v>24.0</v>
      </c>
      <c r="U292" s="6">
        <v>506.0</v>
      </c>
      <c r="V292" s="7"/>
      <c r="W292" s="7"/>
      <c r="X292" s="8">
        <f t="shared" si="1"/>
        <v>0.97799511</v>
      </c>
      <c r="Y292" s="9">
        <f t="shared" si="2"/>
        <v>809</v>
      </c>
      <c r="Z292" s="8">
        <f t="shared" si="3"/>
        <v>1.581027668</v>
      </c>
      <c r="AA292" s="8">
        <f t="shared" si="4"/>
        <v>1.616600791</v>
      </c>
      <c r="AB292" s="8">
        <f t="shared" si="5"/>
        <v>0.09486166008</v>
      </c>
      <c r="AC292" s="8">
        <f t="shared" si="6"/>
        <v>8.333333333</v>
      </c>
      <c r="AD292" s="8">
        <f t="shared" si="7"/>
        <v>8.520833333</v>
      </c>
      <c r="AE292" s="8">
        <f t="shared" si="8"/>
        <v>0.5</v>
      </c>
      <c r="AF292" s="8">
        <f t="shared" si="9"/>
        <v>100</v>
      </c>
      <c r="AG292" s="8">
        <f t="shared" si="10"/>
        <v>102.25</v>
      </c>
      <c r="AH292" s="8">
        <f t="shared" si="11"/>
        <v>6</v>
      </c>
      <c r="AI292" s="10">
        <f t="shared" si="12"/>
        <v>0.5788712012</v>
      </c>
      <c r="AJ292" s="11">
        <f t="shared" si="13"/>
        <v>0.5918958032</v>
      </c>
      <c r="AK292" s="12">
        <f t="shared" si="14"/>
        <v>0.03473227207</v>
      </c>
    </row>
    <row r="293">
      <c r="A293" s="4" t="s">
        <v>347</v>
      </c>
      <c r="B293" s="4" t="s">
        <v>341</v>
      </c>
      <c r="C293" s="4" t="s">
        <v>56</v>
      </c>
      <c r="D293" s="6">
        <v>1119.0</v>
      </c>
      <c r="E293" s="6">
        <v>265.0</v>
      </c>
      <c r="F293" s="6">
        <v>265.0</v>
      </c>
      <c r="G293" s="6">
        <v>1119.0</v>
      </c>
      <c r="H293" s="6">
        <v>4.0</v>
      </c>
      <c r="I293" s="6">
        <v>50.0</v>
      </c>
      <c r="J293" s="6">
        <v>723.0</v>
      </c>
      <c r="K293" s="6">
        <v>244.0</v>
      </c>
      <c r="L293" s="4" t="s">
        <v>50</v>
      </c>
      <c r="M293" s="6">
        <v>1320.0</v>
      </c>
      <c r="N293" s="6">
        <v>400.0</v>
      </c>
      <c r="O293" s="6">
        <v>900.0</v>
      </c>
      <c r="P293" s="6">
        <v>307.0</v>
      </c>
      <c r="Q293" s="6">
        <v>1.0</v>
      </c>
      <c r="R293" s="6">
        <v>9.0</v>
      </c>
      <c r="S293" s="7"/>
      <c r="T293" s="6">
        <v>24.0</v>
      </c>
      <c r="U293" s="6">
        <v>506.0</v>
      </c>
      <c r="V293" s="7"/>
      <c r="W293" s="7"/>
      <c r="X293" s="8">
        <f t="shared" si="1"/>
        <v>1.302931596</v>
      </c>
      <c r="Y293" s="9">
        <f t="shared" si="2"/>
        <v>707</v>
      </c>
      <c r="Z293" s="8">
        <f t="shared" si="3"/>
        <v>1.509433962</v>
      </c>
      <c r="AA293" s="8">
        <f t="shared" si="4"/>
        <v>1.158490566</v>
      </c>
      <c r="AB293" s="8">
        <f t="shared" si="5"/>
        <v>0.09056603774</v>
      </c>
      <c r="AC293" s="8">
        <f t="shared" si="6"/>
        <v>8</v>
      </c>
      <c r="AD293" s="8">
        <f t="shared" si="7"/>
        <v>6.14</v>
      </c>
      <c r="AE293" s="8">
        <f t="shared" si="8"/>
        <v>0.48</v>
      </c>
      <c r="AF293" s="8">
        <f t="shared" si="9"/>
        <v>100</v>
      </c>
      <c r="AG293" s="8">
        <f t="shared" si="10"/>
        <v>76.75</v>
      </c>
      <c r="AH293" s="8">
        <f t="shared" si="11"/>
        <v>6</v>
      </c>
      <c r="AI293" s="10">
        <f t="shared" si="12"/>
        <v>0.5532503458</v>
      </c>
      <c r="AJ293" s="11">
        <f t="shared" si="13"/>
        <v>0.4246196404</v>
      </c>
      <c r="AK293" s="12">
        <f t="shared" si="14"/>
        <v>0.03319502075</v>
      </c>
    </row>
    <row r="294">
      <c r="A294" s="4" t="s">
        <v>348</v>
      </c>
      <c r="B294" s="4" t="s">
        <v>341</v>
      </c>
      <c r="C294" s="4" t="s">
        <v>73</v>
      </c>
      <c r="D294" s="6">
        <v>1112.0</v>
      </c>
      <c r="E294" s="6">
        <v>264.0</v>
      </c>
      <c r="F294" s="6">
        <v>264.0</v>
      </c>
      <c r="G294" s="6">
        <v>1112.0</v>
      </c>
      <c r="H294" s="6">
        <v>4.0</v>
      </c>
      <c r="I294" s="6">
        <v>48.0</v>
      </c>
      <c r="J294" s="6">
        <v>517.0</v>
      </c>
      <c r="K294" s="6">
        <v>191.0</v>
      </c>
      <c r="L294" s="4" t="s">
        <v>50</v>
      </c>
      <c r="M294" s="6">
        <v>1560.0</v>
      </c>
      <c r="N294" s="6">
        <v>600.0</v>
      </c>
      <c r="O294" s="6">
        <v>770.0</v>
      </c>
      <c r="P294" s="6">
        <v>304.0</v>
      </c>
      <c r="Q294" s="6">
        <v>3.0</v>
      </c>
      <c r="R294" s="6">
        <v>12.0</v>
      </c>
      <c r="S294" s="7"/>
      <c r="T294" s="6">
        <v>34.0</v>
      </c>
      <c r="U294" s="6">
        <v>506.0</v>
      </c>
      <c r="V294" s="7"/>
      <c r="W294" s="7"/>
      <c r="X294" s="8">
        <f t="shared" si="1"/>
        <v>1.973684211</v>
      </c>
      <c r="Y294" s="9">
        <f t="shared" si="2"/>
        <v>904</v>
      </c>
      <c r="Z294" s="8">
        <f t="shared" si="3"/>
        <v>2.272727273</v>
      </c>
      <c r="AA294" s="8">
        <f t="shared" si="4"/>
        <v>1.151515152</v>
      </c>
      <c r="AB294" s="8">
        <f t="shared" si="5"/>
        <v>0.1287878788</v>
      </c>
      <c r="AC294" s="8">
        <f t="shared" si="6"/>
        <v>12.5</v>
      </c>
      <c r="AD294" s="8">
        <f t="shared" si="7"/>
        <v>6.333333333</v>
      </c>
      <c r="AE294" s="8">
        <f t="shared" si="8"/>
        <v>0.7083333333</v>
      </c>
      <c r="AF294" s="8">
        <f t="shared" si="9"/>
        <v>150</v>
      </c>
      <c r="AG294" s="8">
        <f t="shared" si="10"/>
        <v>76</v>
      </c>
      <c r="AH294" s="8">
        <f t="shared" si="11"/>
        <v>8.5</v>
      </c>
      <c r="AI294" s="10">
        <f t="shared" si="12"/>
        <v>1.160541586</v>
      </c>
      <c r="AJ294" s="11">
        <f t="shared" si="13"/>
        <v>0.5880077369</v>
      </c>
      <c r="AK294" s="12">
        <f t="shared" si="14"/>
        <v>0.06576402321</v>
      </c>
    </row>
    <row r="295">
      <c r="A295" s="4" t="s">
        <v>349</v>
      </c>
      <c r="B295" s="4" t="s">
        <v>341</v>
      </c>
      <c r="C295" s="4" t="s">
        <v>73</v>
      </c>
      <c r="D295" s="6">
        <v>1648.0</v>
      </c>
      <c r="E295" s="6">
        <v>392.0</v>
      </c>
      <c r="F295" s="6">
        <v>392.0</v>
      </c>
      <c r="G295" s="6">
        <v>1648.0</v>
      </c>
      <c r="H295" s="6">
        <v>2.0</v>
      </c>
      <c r="I295" s="6">
        <v>72.0</v>
      </c>
      <c r="J295" s="6">
        <v>1032.0</v>
      </c>
      <c r="K295" s="6">
        <v>210.0</v>
      </c>
      <c r="L295" s="4" t="s">
        <v>50</v>
      </c>
      <c r="M295" s="6">
        <v>960.0</v>
      </c>
      <c r="N295" s="6">
        <v>800.0</v>
      </c>
      <c r="O295" s="6">
        <v>770.0</v>
      </c>
      <c r="P295" s="6">
        <v>485.0</v>
      </c>
      <c r="Q295" s="6">
        <v>3.0</v>
      </c>
      <c r="R295" s="6">
        <v>12.0</v>
      </c>
      <c r="S295" s="7"/>
      <c r="T295" s="6">
        <v>34.0</v>
      </c>
      <c r="U295" s="6">
        <v>506.0</v>
      </c>
      <c r="V295" s="7"/>
      <c r="W295" s="7"/>
      <c r="X295" s="8">
        <f t="shared" si="1"/>
        <v>1.649484536</v>
      </c>
      <c r="Y295" s="9">
        <f t="shared" si="2"/>
        <v>1285</v>
      </c>
      <c r="Z295" s="8">
        <f t="shared" si="3"/>
        <v>2.040816327</v>
      </c>
      <c r="AA295" s="8">
        <f t="shared" si="4"/>
        <v>1.237244898</v>
      </c>
      <c r="AB295" s="8">
        <f t="shared" si="5"/>
        <v>0.08673469388</v>
      </c>
      <c r="AC295" s="8">
        <f t="shared" si="6"/>
        <v>11.11111111</v>
      </c>
      <c r="AD295" s="8">
        <f t="shared" si="7"/>
        <v>6.736111111</v>
      </c>
      <c r="AE295" s="8">
        <f t="shared" si="8"/>
        <v>0.4722222222</v>
      </c>
      <c r="AF295" s="8">
        <f t="shared" si="9"/>
        <v>400</v>
      </c>
      <c r="AG295" s="8">
        <f t="shared" si="10"/>
        <v>242.5</v>
      </c>
      <c r="AH295" s="8">
        <f t="shared" si="11"/>
        <v>17</v>
      </c>
      <c r="AI295" s="10">
        <f t="shared" si="12"/>
        <v>0.7751937984</v>
      </c>
      <c r="AJ295" s="11">
        <f t="shared" si="13"/>
        <v>0.4699612403</v>
      </c>
      <c r="AK295" s="12">
        <f t="shared" si="14"/>
        <v>0.03294573643</v>
      </c>
    </row>
    <row r="296">
      <c r="A296" s="4" t="s">
        <v>350</v>
      </c>
      <c r="B296" s="4" t="s">
        <v>341</v>
      </c>
      <c r="C296" s="4" t="s">
        <v>56</v>
      </c>
      <c r="D296" s="6">
        <v>1237.0</v>
      </c>
      <c r="E296" s="6">
        <v>293.0</v>
      </c>
      <c r="F296" s="6">
        <v>293.0</v>
      </c>
      <c r="G296" s="6">
        <v>1237.0</v>
      </c>
      <c r="H296" s="6">
        <v>6.0</v>
      </c>
      <c r="I296" s="6">
        <v>55.0</v>
      </c>
      <c r="J296" s="6">
        <v>798.0</v>
      </c>
      <c r="K296" s="6">
        <v>259.0</v>
      </c>
      <c r="L296" s="4" t="s">
        <v>50</v>
      </c>
      <c r="M296" s="6">
        <v>1395.0</v>
      </c>
      <c r="N296" s="6">
        <v>800.0</v>
      </c>
      <c r="O296" s="6">
        <v>700.0</v>
      </c>
      <c r="P296" s="6">
        <v>308.0</v>
      </c>
      <c r="Q296" s="6">
        <v>1.0</v>
      </c>
      <c r="R296" s="6">
        <v>12.0</v>
      </c>
      <c r="S296" s="7"/>
      <c r="T296" s="6">
        <v>32.0</v>
      </c>
      <c r="U296" s="6">
        <v>449.0</v>
      </c>
      <c r="V296" s="7"/>
      <c r="W296" s="7"/>
      <c r="X296" s="8">
        <f t="shared" si="1"/>
        <v>2.597402597</v>
      </c>
      <c r="Y296" s="9">
        <f t="shared" si="2"/>
        <v>1108</v>
      </c>
      <c r="Z296" s="8">
        <f t="shared" si="3"/>
        <v>2.730375427</v>
      </c>
      <c r="AA296" s="8">
        <f t="shared" si="4"/>
        <v>1.051194539</v>
      </c>
      <c r="AB296" s="8">
        <f t="shared" si="5"/>
        <v>0.1092150171</v>
      </c>
      <c r="AC296" s="8">
        <f t="shared" si="6"/>
        <v>14.54545455</v>
      </c>
      <c r="AD296" s="8">
        <f t="shared" si="7"/>
        <v>5.6</v>
      </c>
      <c r="AE296" s="8">
        <f t="shared" si="8"/>
        <v>0.5818181818</v>
      </c>
      <c r="AF296" s="8">
        <f t="shared" si="9"/>
        <v>133.3333333</v>
      </c>
      <c r="AG296" s="8">
        <f t="shared" si="10"/>
        <v>51.33333333</v>
      </c>
      <c r="AH296" s="8">
        <f t="shared" si="11"/>
        <v>5.333333333</v>
      </c>
      <c r="AI296" s="10">
        <f t="shared" si="12"/>
        <v>1.002506266</v>
      </c>
      <c r="AJ296" s="11">
        <f t="shared" si="13"/>
        <v>0.3859649123</v>
      </c>
      <c r="AK296" s="12">
        <f t="shared" si="14"/>
        <v>0.04010025063</v>
      </c>
    </row>
    <row r="297">
      <c r="A297" s="4" t="s">
        <v>351</v>
      </c>
      <c r="B297" s="4" t="s">
        <v>341</v>
      </c>
      <c r="C297" s="4" t="s">
        <v>56</v>
      </c>
      <c r="D297" s="6">
        <v>1576.0</v>
      </c>
      <c r="E297" s="6">
        <v>374.0</v>
      </c>
      <c r="F297" s="6">
        <v>374.0</v>
      </c>
      <c r="G297" s="6">
        <v>1576.0</v>
      </c>
      <c r="H297" s="6">
        <v>6.0</v>
      </c>
      <c r="I297" s="6">
        <v>71.0</v>
      </c>
      <c r="J297" s="6">
        <v>1375.0</v>
      </c>
      <c r="K297" s="6">
        <v>275.0</v>
      </c>
      <c r="L297" s="4" t="s">
        <v>50</v>
      </c>
      <c r="M297" s="6">
        <v>1395.0</v>
      </c>
      <c r="N297" s="6">
        <v>1000.0</v>
      </c>
      <c r="O297" s="6">
        <v>700.0</v>
      </c>
      <c r="P297" s="6">
        <v>450.0</v>
      </c>
      <c r="Q297" s="6">
        <v>1.0</v>
      </c>
      <c r="R297" s="6">
        <v>12.0</v>
      </c>
      <c r="S297" s="7"/>
      <c r="T297" s="6">
        <v>32.0</v>
      </c>
      <c r="U297" s="6">
        <v>449.0</v>
      </c>
      <c r="V297" s="7"/>
      <c r="W297" s="7"/>
      <c r="X297" s="8">
        <f t="shared" si="1"/>
        <v>2.222222222</v>
      </c>
      <c r="Y297" s="9">
        <f t="shared" si="2"/>
        <v>1450</v>
      </c>
      <c r="Z297" s="8">
        <f t="shared" si="3"/>
        <v>2.673796791</v>
      </c>
      <c r="AA297" s="8">
        <f t="shared" si="4"/>
        <v>1.203208556</v>
      </c>
      <c r="AB297" s="8">
        <f t="shared" si="5"/>
        <v>0.08556149733</v>
      </c>
      <c r="AC297" s="8">
        <f t="shared" si="6"/>
        <v>14.08450704</v>
      </c>
      <c r="AD297" s="8">
        <f t="shared" si="7"/>
        <v>6.338028169</v>
      </c>
      <c r="AE297" s="8">
        <f t="shared" si="8"/>
        <v>0.4507042254</v>
      </c>
      <c r="AF297" s="8">
        <f t="shared" si="9"/>
        <v>166.6666667</v>
      </c>
      <c r="AG297" s="8">
        <f t="shared" si="10"/>
        <v>75</v>
      </c>
      <c r="AH297" s="8">
        <f t="shared" si="11"/>
        <v>5.333333333</v>
      </c>
      <c r="AI297" s="10">
        <f t="shared" si="12"/>
        <v>0.7272727273</v>
      </c>
      <c r="AJ297" s="11">
        <f t="shared" si="13"/>
        <v>0.3272727273</v>
      </c>
      <c r="AK297" s="12">
        <f t="shared" si="14"/>
        <v>0.02327272727</v>
      </c>
    </row>
    <row r="298">
      <c r="A298" s="4" t="s">
        <v>352</v>
      </c>
      <c r="B298" s="4" t="s">
        <v>341</v>
      </c>
      <c r="C298" s="4" t="s">
        <v>64</v>
      </c>
      <c r="D298" s="6">
        <v>1132.0</v>
      </c>
      <c r="E298" s="6">
        <v>269.0</v>
      </c>
      <c r="F298" s="6">
        <v>269.0</v>
      </c>
      <c r="G298" s="6">
        <v>1132.0</v>
      </c>
      <c r="H298" s="6">
        <v>8.0</v>
      </c>
      <c r="I298" s="6">
        <v>49.0</v>
      </c>
      <c r="J298" s="6">
        <v>708.0</v>
      </c>
      <c r="K298" s="6">
        <v>149.0</v>
      </c>
      <c r="L298" s="4" t="s">
        <v>50</v>
      </c>
      <c r="M298" s="6">
        <v>1710.0</v>
      </c>
      <c r="N298" s="6">
        <v>800.0</v>
      </c>
      <c r="O298" s="6">
        <v>800.0</v>
      </c>
      <c r="P298" s="6">
        <v>412.0</v>
      </c>
      <c r="Q298" s="6">
        <v>2.0</v>
      </c>
      <c r="R298" s="6">
        <v>10.0</v>
      </c>
      <c r="S298" s="7"/>
      <c r="T298" s="6">
        <v>18.0</v>
      </c>
      <c r="U298" s="6">
        <v>478.0</v>
      </c>
      <c r="V298" s="7"/>
      <c r="W298" s="7"/>
      <c r="X298" s="8">
        <f t="shared" si="1"/>
        <v>1.941747573</v>
      </c>
      <c r="Y298" s="9">
        <f t="shared" si="2"/>
        <v>1212</v>
      </c>
      <c r="Z298" s="8">
        <f t="shared" si="3"/>
        <v>2.973977695</v>
      </c>
      <c r="AA298" s="8">
        <f t="shared" si="4"/>
        <v>1.531598513</v>
      </c>
      <c r="AB298" s="8">
        <f t="shared" si="5"/>
        <v>0.06691449814</v>
      </c>
      <c r="AC298" s="8">
        <f t="shared" si="6"/>
        <v>16.32653061</v>
      </c>
      <c r="AD298" s="8">
        <f t="shared" si="7"/>
        <v>8.408163265</v>
      </c>
      <c r="AE298" s="8">
        <f t="shared" si="8"/>
        <v>0.3673469388</v>
      </c>
      <c r="AF298" s="8">
        <f t="shared" si="9"/>
        <v>100</v>
      </c>
      <c r="AG298" s="8">
        <f t="shared" si="10"/>
        <v>51.5</v>
      </c>
      <c r="AH298" s="8">
        <f t="shared" si="11"/>
        <v>2.25</v>
      </c>
      <c r="AI298" s="10">
        <f t="shared" si="12"/>
        <v>1.129943503</v>
      </c>
      <c r="AJ298" s="11">
        <f t="shared" si="13"/>
        <v>0.581920904</v>
      </c>
      <c r="AK298" s="12">
        <f t="shared" si="14"/>
        <v>0.02542372881</v>
      </c>
    </row>
    <row r="299">
      <c r="A299" s="4" t="s">
        <v>353</v>
      </c>
      <c r="B299" s="4" t="s">
        <v>341</v>
      </c>
      <c r="C299" s="4" t="s">
        <v>64</v>
      </c>
      <c r="D299" s="6">
        <v>1374.0</v>
      </c>
      <c r="E299" s="6">
        <v>326.0</v>
      </c>
      <c r="F299" s="6">
        <v>326.0</v>
      </c>
      <c r="G299" s="6">
        <v>1374.0</v>
      </c>
      <c r="H299" s="6">
        <v>4.0</v>
      </c>
      <c r="I299" s="6">
        <v>60.0</v>
      </c>
      <c r="J299" s="6">
        <v>1162.0</v>
      </c>
      <c r="K299" s="6">
        <v>170.0</v>
      </c>
      <c r="L299" s="4" t="s">
        <v>50</v>
      </c>
      <c r="M299" s="6">
        <v>1710.0</v>
      </c>
      <c r="N299" s="6">
        <v>1000.0</v>
      </c>
      <c r="O299" s="6">
        <v>800.0</v>
      </c>
      <c r="P299" s="6">
        <v>590.0</v>
      </c>
      <c r="Q299" s="6">
        <v>2.0</v>
      </c>
      <c r="R299" s="6">
        <v>10.0</v>
      </c>
      <c r="S299" s="7"/>
      <c r="T299" s="6">
        <v>18.0</v>
      </c>
      <c r="U299" s="6">
        <v>478.0</v>
      </c>
      <c r="V299" s="7"/>
      <c r="W299" s="7"/>
      <c r="X299" s="8">
        <f t="shared" si="1"/>
        <v>1.694915254</v>
      </c>
      <c r="Y299" s="9">
        <f t="shared" si="2"/>
        <v>1590</v>
      </c>
      <c r="Z299" s="8">
        <f t="shared" si="3"/>
        <v>3.067484663</v>
      </c>
      <c r="AA299" s="8">
        <f t="shared" si="4"/>
        <v>1.809815951</v>
      </c>
      <c r="AB299" s="8">
        <f t="shared" si="5"/>
        <v>0.05521472393</v>
      </c>
      <c r="AC299" s="8">
        <f t="shared" si="6"/>
        <v>16.66666667</v>
      </c>
      <c r="AD299" s="8">
        <f t="shared" si="7"/>
        <v>9.833333333</v>
      </c>
      <c r="AE299" s="8">
        <f t="shared" si="8"/>
        <v>0.3</v>
      </c>
      <c r="AF299" s="8">
        <f t="shared" si="9"/>
        <v>250</v>
      </c>
      <c r="AG299" s="8">
        <f t="shared" si="10"/>
        <v>147.5</v>
      </c>
      <c r="AH299" s="8">
        <f t="shared" si="11"/>
        <v>4.5</v>
      </c>
      <c r="AI299" s="10">
        <f t="shared" si="12"/>
        <v>0.8605851979</v>
      </c>
      <c r="AJ299" s="11">
        <f t="shared" si="13"/>
        <v>0.5077452668</v>
      </c>
      <c r="AK299" s="12">
        <f t="shared" si="14"/>
        <v>0.01549053356</v>
      </c>
    </row>
    <row r="300">
      <c r="A300" s="4" t="s">
        <v>354</v>
      </c>
      <c r="B300" s="4" t="s">
        <v>341</v>
      </c>
      <c r="C300" s="4" t="s">
        <v>60</v>
      </c>
      <c r="D300" s="6">
        <v>1342.0</v>
      </c>
      <c r="E300" s="6">
        <v>318.0</v>
      </c>
      <c r="F300" s="6">
        <v>318.0</v>
      </c>
      <c r="G300" s="6">
        <v>1342.0</v>
      </c>
      <c r="H300" s="6">
        <v>4.0</v>
      </c>
      <c r="I300" s="6">
        <v>56.0</v>
      </c>
      <c r="J300" s="6">
        <v>817.0</v>
      </c>
      <c r="K300" s="6">
        <v>166.0</v>
      </c>
      <c r="L300" s="4" t="s">
        <v>50</v>
      </c>
      <c r="M300" s="6">
        <v>1590.0</v>
      </c>
      <c r="N300" s="6">
        <v>800.0</v>
      </c>
      <c r="O300" s="6">
        <v>990.0</v>
      </c>
      <c r="P300" s="6">
        <v>361.0</v>
      </c>
      <c r="Q300" s="6">
        <v>3.0</v>
      </c>
      <c r="R300" s="6">
        <v>14.0</v>
      </c>
      <c r="S300" s="7"/>
      <c r="T300" s="6">
        <v>23.0</v>
      </c>
      <c r="U300" s="6">
        <v>646.0</v>
      </c>
      <c r="V300" s="7"/>
      <c r="W300" s="7"/>
      <c r="X300" s="8">
        <f t="shared" si="1"/>
        <v>2.216066482</v>
      </c>
      <c r="Y300" s="9">
        <f t="shared" si="2"/>
        <v>1161</v>
      </c>
      <c r="Z300" s="8">
        <f t="shared" si="3"/>
        <v>2.51572327</v>
      </c>
      <c r="AA300" s="8">
        <f t="shared" si="4"/>
        <v>1.135220126</v>
      </c>
      <c r="AB300" s="8">
        <f t="shared" si="5"/>
        <v>0.07232704403</v>
      </c>
      <c r="AC300" s="8">
        <f t="shared" si="6"/>
        <v>14.28571429</v>
      </c>
      <c r="AD300" s="8">
        <f t="shared" si="7"/>
        <v>6.446428571</v>
      </c>
      <c r="AE300" s="8">
        <f t="shared" si="8"/>
        <v>0.4107142857</v>
      </c>
      <c r="AF300" s="8">
        <f t="shared" si="9"/>
        <v>200</v>
      </c>
      <c r="AG300" s="8">
        <f t="shared" si="10"/>
        <v>90.25</v>
      </c>
      <c r="AH300" s="8">
        <f t="shared" si="11"/>
        <v>5.75</v>
      </c>
      <c r="AI300" s="10">
        <f t="shared" si="12"/>
        <v>0.9791921665</v>
      </c>
      <c r="AJ300" s="11">
        <f t="shared" si="13"/>
        <v>0.4418604651</v>
      </c>
      <c r="AK300" s="12">
        <f t="shared" si="14"/>
        <v>0.02815177479</v>
      </c>
    </row>
    <row r="301">
      <c r="A301" s="4" t="s">
        <v>355</v>
      </c>
      <c r="B301" s="4" t="s">
        <v>341</v>
      </c>
      <c r="C301" s="4" t="s">
        <v>60</v>
      </c>
      <c r="D301" s="6">
        <v>1744.0</v>
      </c>
      <c r="E301" s="6">
        <v>414.0</v>
      </c>
      <c r="F301" s="6">
        <v>414.0</v>
      </c>
      <c r="G301" s="6">
        <v>1744.0</v>
      </c>
      <c r="H301" s="6">
        <v>4.0</v>
      </c>
      <c r="I301" s="6">
        <v>74.0</v>
      </c>
      <c r="J301" s="6">
        <v>1433.0</v>
      </c>
      <c r="K301" s="6">
        <v>185.0</v>
      </c>
      <c r="L301" s="4" t="s">
        <v>50</v>
      </c>
      <c r="M301" s="6">
        <v>1590.0</v>
      </c>
      <c r="N301" s="6">
        <v>1000.0</v>
      </c>
      <c r="O301" s="6">
        <v>990.0</v>
      </c>
      <c r="P301" s="6">
        <v>500.0</v>
      </c>
      <c r="Q301" s="6">
        <v>3.0</v>
      </c>
      <c r="R301" s="6">
        <v>14.0</v>
      </c>
      <c r="S301" s="7"/>
      <c r="T301" s="6">
        <v>23.0</v>
      </c>
      <c r="U301" s="6">
        <v>646.0</v>
      </c>
      <c r="V301" s="7"/>
      <c r="W301" s="7"/>
      <c r="X301" s="8">
        <f t="shared" si="1"/>
        <v>2</v>
      </c>
      <c r="Y301" s="9">
        <f t="shared" si="2"/>
        <v>1500</v>
      </c>
      <c r="Z301" s="8">
        <f t="shared" si="3"/>
        <v>2.415458937</v>
      </c>
      <c r="AA301" s="8">
        <f t="shared" si="4"/>
        <v>1.207729469</v>
      </c>
      <c r="AB301" s="8">
        <f t="shared" si="5"/>
        <v>0.05555555556</v>
      </c>
      <c r="AC301" s="8">
        <f t="shared" si="6"/>
        <v>13.51351351</v>
      </c>
      <c r="AD301" s="8">
        <f t="shared" si="7"/>
        <v>6.756756757</v>
      </c>
      <c r="AE301" s="8">
        <f t="shared" si="8"/>
        <v>0.3108108108</v>
      </c>
      <c r="AF301" s="8">
        <f t="shared" si="9"/>
        <v>250</v>
      </c>
      <c r="AG301" s="8">
        <f t="shared" si="10"/>
        <v>125</v>
      </c>
      <c r="AH301" s="8">
        <f t="shared" si="11"/>
        <v>5.75</v>
      </c>
      <c r="AI301" s="10">
        <f t="shared" si="12"/>
        <v>0.6978367062</v>
      </c>
      <c r="AJ301" s="11">
        <f t="shared" si="13"/>
        <v>0.3489183531</v>
      </c>
      <c r="AK301" s="12">
        <f t="shared" si="14"/>
        <v>0.01605024424</v>
      </c>
    </row>
    <row r="302">
      <c r="A302" s="4" t="s">
        <v>356</v>
      </c>
      <c r="B302" s="4" t="s">
        <v>341</v>
      </c>
      <c r="C302" s="4" t="s">
        <v>91</v>
      </c>
      <c r="D302" s="6">
        <v>1004.0</v>
      </c>
      <c r="E302" s="6">
        <v>238.0</v>
      </c>
      <c r="F302" s="6">
        <v>238.0</v>
      </c>
      <c r="G302" s="6">
        <v>1004.0</v>
      </c>
      <c r="H302" s="6">
        <v>10.0</v>
      </c>
      <c r="I302" s="6">
        <v>43.0</v>
      </c>
      <c r="J302" s="6">
        <v>629.0</v>
      </c>
      <c r="K302" s="6">
        <v>195.0</v>
      </c>
      <c r="L302" s="4" t="s">
        <v>50</v>
      </c>
      <c r="M302" s="6">
        <v>2100.0</v>
      </c>
      <c r="N302" s="6">
        <v>325.0</v>
      </c>
      <c r="O302" s="6">
        <v>500.0</v>
      </c>
      <c r="P302" s="6">
        <v>419.0</v>
      </c>
      <c r="Q302" s="6">
        <v>3.0</v>
      </c>
      <c r="R302" s="6">
        <v>14.0</v>
      </c>
      <c r="S302" s="7"/>
      <c r="T302" s="6">
        <v>31.0</v>
      </c>
      <c r="U302" s="6">
        <v>393.0</v>
      </c>
      <c r="V302" s="7"/>
      <c r="W302" s="7"/>
      <c r="X302" s="8">
        <f t="shared" si="1"/>
        <v>0.7756563246</v>
      </c>
      <c r="Y302" s="9">
        <f t="shared" si="2"/>
        <v>744</v>
      </c>
      <c r="Z302" s="8">
        <f t="shared" si="3"/>
        <v>1.365546218</v>
      </c>
      <c r="AA302" s="8">
        <f t="shared" si="4"/>
        <v>1.760504202</v>
      </c>
      <c r="AB302" s="8">
        <f t="shared" si="5"/>
        <v>0.1302521008</v>
      </c>
      <c r="AC302" s="8">
        <f t="shared" si="6"/>
        <v>7.558139535</v>
      </c>
      <c r="AD302" s="8">
        <f t="shared" si="7"/>
        <v>9.744186047</v>
      </c>
      <c r="AE302" s="8">
        <f t="shared" si="8"/>
        <v>0.7209302326</v>
      </c>
      <c r="AF302" s="8">
        <f t="shared" si="9"/>
        <v>32.5</v>
      </c>
      <c r="AG302" s="8">
        <f t="shared" si="10"/>
        <v>41.9</v>
      </c>
      <c r="AH302" s="8">
        <f t="shared" si="11"/>
        <v>3.1</v>
      </c>
      <c r="AI302" s="10">
        <f t="shared" si="12"/>
        <v>0.5166931638</v>
      </c>
      <c r="AJ302" s="11">
        <f t="shared" si="13"/>
        <v>0.666136725</v>
      </c>
      <c r="AK302" s="12">
        <f t="shared" si="14"/>
        <v>0.0492845787</v>
      </c>
    </row>
    <row r="303">
      <c r="A303" s="4" t="s">
        <v>357</v>
      </c>
      <c r="B303" s="4" t="s">
        <v>341</v>
      </c>
      <c r="C303" s="4" t="s">
        <v>91</v>
      </c>
      <c r="D303" s="6">
        <v>1144.0</v>
      </c>
      <c r="E303" s="6">
        <v>271.0</v>
      </c>
      <c r="F303" s="6">
        <v>271.0</v>
      </c>
      <c r="G303" s="6">
        <v>1144.0</v>
      </c>
      <c r="H303" s="6">
        <v>10.0</v>
      </c>
      <c r="I303" s="6">
        <v>50.0</v>
      </c>
      <c r="J303" s="6">
        <v>969.0</v>
      </c>
      <c r="K303" s="6">
        <v>225.0</v>
      </c>
      <c r="L303" s="4" t="s">
        <v>50</v>
      </c>
      <c r="M303" s="6">
        <v>2100.0</v>
      </c>
      <c r="N303" s="6">
        <v>400.0</v>
      </c>
      <c r="O303" s="6">
        <v>500.0</v>
      </c>
      <c r="P303" s="6">
        <v>600.0</v>
      </c>
      <c r="Q303" s="6">
        <v>3.0</v>
      </c>
      <c r="R303" s="6">
        <v>14.0</v>
      </c>
      <c r="S303" s="7"/>
      <c r="T303" s="6">
        <v>31.0</v>
      </c>
      <c r="U303" s="6">
        <v>393.0</v>
      </c>
      <c r="V303" s="7"/>
      <c r="W303" s="7"/>
      <c r="X303" s="8">
        <f t="shared" si="1"/>
        <v>0.6666666667</v>
      </c>
      <c r="Y303" s="9">
        <f t="shared" si="2"/>
        <v>1000</v>
      </c>
      <c r="Z303" s="8">
        <f t="shared" si="3"/>
        <v>1.47601476</v>
      </c>
      <c r="AA303" s="8">
        <f t="shared" si="4"/>
        <v>2.21402214</v>
      </c>
      <c r="AB303" s="8">
        <f t="shared" si="5"/>
        <v>0.1143911439</v>
      </c>
      <c r="AC303" s="8">
        <f t="shared" si="6"/>
        <v>8</v>
      </c>
      <c r="AD303" s="8">
        <f t="shared" si="7"/>
        <v>12</v>
      </c>
      <c r="AE303" s="8">
        <f t="shared" si="8"/>
        <v>0.62</v>
      </c>
      <c r="AF303" s="8">
        <f t="shared" si="9"/>
        <v>40</v>
      </c>
      <c r="AG303" s="8">
        <f t="shared" si="10"/>
        <v>60</v>
      </c>
      <c r="AH303" s="8">
        <f t="shared" si="11"/>
        <v>3.1</v>
      </c>
      <c r="AI303" s="10">
        <f t="shared" si="12"/>
        <v>0.4127966976</v>
      </c>
      <c r="AJ303" s="11">
        <f t="shared" si="13"/>
        <v>0.6191950464</v>
      </c>
      <c r="AK303" s="12">
        <f t="shared" si="14"/>
        <v>0.03199174407</v>
      </c>
    </row>
    <row r="304">
      <c r="A304" s="4" t="s">
        <v>358</v>
      </c>
      <c r="B304" s="4" t="s">
        <v>341</v>
      </c>
      <c r="C304" s="4" t="s">
        <v>64</v>
      </c>
      <c r="D304" s="6">
        <v>892.0</v>
      </c>
      <c r="E304" s="6">
        <v>212.0</v>
      </c>
      <c r="F304" s="6">
        <v>212.0</v>
      </c>
      <c r="G304" s="6">
        <v>892.0</v>
      </c>
      <c r="H304" s="6">
        <v>6.0</v>
      </c>
      <c r="I304" s="6">
        <v>39.0</v>
      </c>
      <c r="J304" s="6">
        <v>559.0</v>
      </c>
      <c r="K304" s="6">
        <v>147.0</v>
      </c>
      <c r="L304" s="4" t="s">
        <v>50</v>
      </c>
      <c r="M304" s="6">
        <v>1125.0</v>
      </c>
      <c r="N304" s="6">
        <v>600.0</v>
      </c>
      <c r="O304" s="6">
        <v>500.0</v>
      </c>
      <c r="P304" s="6">
        <v>305.0</v>
      </c>
      <c r="Q304" s="6">
        <v>1.0</v>
      </c>
      <c r="R304" s="6">
        <v>9.0</v>
      </c>
      <c r="S304" s="7"/>
      <c r="T304" s="6">
        <v>16.0</v>
      </c>
      <c r="U304" s="6">
        <v>506.0</v>
      </c>
      <c r="V304" s="7"/>
      <c r="W304" s="7"/>
      <c r="X304" s="8">
        <f t="shared" si="1"/>
        <v>1.967213115</v>
      </c>
      <c r="Y304" s="9">
        <f t="shared" si="2"/>
        <v>905</v>
      </c>
      <c r="Z304" s="8">
        <f t="shared" si="3"/>
        <v>2.830188679</v>
      </c>
      <c r="AA304" s="8">
        <f t="shared" si="4"/>
        <v>1.438679245</v>
      </c>
      <c r="AB304" s="8">
        <f t="shared" si="5"/>
        <v>0.07547169811</v>
      </c>
      <c r="AC304" s="8">
        <f t="shared" si="6"/>
        <v>15.38461538</v>
      </c>
      <c r="AD304" s="8">
        <f t="shared" si="7"/>
        <v>7.820512821</v>
      </c>
      <c r="AE304" s="8">
        <f t="shared" si="8"/>
        <v>0.4102564103</v>
      </c>
      <c r="AF304" s="8">
        <f t="shared" si="9"/>
        <v>100</v>
      </c>
      <c r="AG304" s="8">
        <f t="shared" si="10"/>
        <v>50.83333333</v>
      </c>
      <c r="AH304" s="8">
        <f t="shared" si="11"/>
        <v>2.666666667</v>
      </c>
      <c r="AI304" s="10">
        <f t="shared" si="12"/>
        <v>1.073345259</v>
      </c>
      <c r="AJ304" s="11">
        <f t="shared" si="13"/>
        <v>0.5456171735</v>
      </c>
      <c r="AK304" s="12">
        <f t="shared" si="14"/>
        <v>0.02862254025</v>
      </c>
    </row>
    <row r="305">
      <c r="A305" s="4" t="s">
        <v>359</v>
      </c>
      <c r="B305" s="4" t="s">
        <v>341</v>
      </c>
      <c r="C305" s="4" t="s">
        <v>64</v>
      </c>
      <c r="D305" s="6">
        <v>984.0</v>
      </c>
      <c r="E305" s="6">
        <v>233.0</v>
      </c>
      <c r="F305" s="6">
        <v>233.0</v>
      </c>
      <c r="G305" s="6">
        <v>984.0</v>
      </c>
      <c r="H305" s="6">
        <v>6.0</v>
      </c>
      <c r="I305" s="6">
        <v>43.0</v>
      </c>
      <c r="J305" s="6">
        <v>617.0</v>
      </c>
      <c r="K305" s="6">
        <v>147.0</v>
      </c>
      <c r="L305" s="4" t="s">
        <v>50</v>
      </c>
      <c r="M305" s="6">
        <v>1125.0</v>
      </c>
      <c r="N305" s="6">
        <v>600.0</v>
      </c>
      <c r="O305" s="6">
        <v>500.0</v>
      </c>
      <c r="P305" s="6">
        <v>406.0</v>
      </c>
      <c r="Q305" s="6">
        <v>1.0</v>
      </c>
      <c r="R305" s="6">
        <v>9.0</v>
      </c>
      <c r="S305" s="7"/>
      <c r="T305" s="6">
        <v>16.0</v>
      </c>
      <c r="U305" s="6">
        <v>506.0</v>
      </c>
      <c r="V305" s="7"/>
      <c r="W305" s="7"/>
      <c r="X305" s="8">
        <f t="shared" si="1"/>
        <v>1.477832512</v>
      </c>
      <c r="Y305" s="9">
        <f t="shared" si="2"/>
        <v>1006</v>
      </c>
      <c r="Z305" s="8">
        <f t="shared" si="3"/>
        <v>2.575107296</v>
      </c>
      <c r="AA305" s="8">
        <f t="shared" si="4"/>
        <v>1.74248927</v>
      </c>
      <c r="AB305" s="8">
        <f t="shared" si="5"/>
        <v>0.0686695279</v>
      </c>
      <c r="AC305" s="8">
        <f t="shared" si="6"/>
        <v>13.95348837</v>
      </c>
      <c r="AD305" s="8">
        <f t="shared" si="7"/>
        <v>9.441860465</v>
      </c>
      <c r="AE305" s="8">
        <f t="shared" si="8"/>
        <v>0.3720930233</v>
      </c>
      <c r="AF305" s="8">
        <f t="shared" si="9"/>
        <v>100</v>
      </c>
      <c r="AG305" s="8">
        <f t="shared" si="10"/>
        <v>67.66666667</v>
      </c>
      <c r="AH305" s="8">
        <f t="shared" si="11"/>
        <v>2.666666667</v>
      </c>
      <c r="AI305" s="10">
        <f t="shared" si="12"/>
        <v>0.9724473258</v>
      </c>
      <c r="AJ305" s="11">
        <f t="shared" si="13"/>
        <v>0.6580226904</v>
      </c>
      <c r="AK305" s="12">
        <f t="shared" si="14"/>
        <v>0.02593192869</v>
      </c>
    </row>
    <row r="306">
      <c r="A306" s="4" t="s">
        <v>360</v>
      </c>
      <c r="B306" s="4" t="s">
        <v>341</v>
      </c>
      <c r="C306" s="4" t="s">
        <v>64</v>
      </c>
      <c r="D306" s="6">
        <v>1028.0</v>
      </c>
      <c r="E306" s="6">
        <v>243.0</v>
      </c>
      <c r="F306" s="6">
        <v>243.0</v>
      </c>
      <c r="G306" s="6">
        <v>1028.0</v>
      </c>
      <c r="H306" s="6">
        <v>6.0</v>
      </c>
      <c r="I306" s="6">
        <v>44.0</v>
      </c>
      <c r="J306" s="6">
        <v>644.0</v>
      </c>
      <c r="K306" s="6">
        <v>147.0</v>
      </c>
      <c r="L306" s="4" t="s">
        <v>50</v>
      </c>
      <c r="M306" s="6">
        <v>1125.0</v>
      </c>
      <c r="N306" s="6">
        <v>600.0</v>
      </c>
      <c r="O306" s="6">
        <v>750.0</v>
      </c>
      <c r="P306" s="6">
        <v>305.0</v>
      </c>
      <c r="Q306" s="6">
        <v>1.0</v>
      </c>
      <c r="R306" s="6">
        <v>9.0</v>
      </c>
      <c r="S306" s="7"/>
      <c r="T306" s="6">
        <v>16.0</v>
      </c>
      <c r="U306" s="6">
        <v>506.0</v>
      </c>
      <c r="V306" s="7"/>
      <c r="W306" s="7"/>
      <c r="X306" s="8">
        <f t="shared" si="1"/>
        <v>1.967213115</v>
      </c>
      <c r="Y306" s="9">
        <f t="shared" si="2"/>
        <v>905</v>
      </c>
      <c r="Z306" s="8">
        <f t="shared" si="3"/>
        <v>2.469135802</v>
      </c>
      <c r="AA306" s="8">
        <f t="shared" si="4"/>
        <v>1.255144033</v>
      </c>
      <c r="AB306" s="8">
        <f t="shared" si="5"/>
        <v>0.0658436214</v>
      </c>
      <c r="AC306" s="8">
        <f t="shared" si="6"/>
        <v>13.63636364</v>
      </c>
      <c r="AD306" s="8">
        <f t="shared" si="7"/>
        <v>6.931818182</v>
      </c>
      <c r="AE306" s="8">
        <f t="shared" si="8"/>
        <v>0.3636363636</v>
      </c>
      <c r="AF306" s="8">
        <f t="shared" si="9"/>
        <v>100</v>
      </c>
      <c r="AG306" s="8">
        <f t="shared" si="10"/>
        <v>50.83333333</v>
      </c>
      <c r="AH306" s="8">
        <f t="shared" si="11"/>
        <v>2.666666667</v>
      </c>
      <c r="AI306" s="10">
        <f t="shared" si="12"/>
        <v>0.9316770186</v>
      </c>
      <c r="AJ306" s="11">
        <f t="shared" si="13"/>
        <v>0.4736024845</v>
      </c>
      <c r="AK306" s="12">
        <f t="shared" si="14"/>
        <v>0.0248447205</v>
      </c>
    </row>
    <row r="307">
      <c r="A307" s="4" t="s">
        <v>361</v>
      </c>
      <c r="B307" s="4" t="s">
        <v>341</v>
      </c>
      <c r="C307" s="4" t="s">
        <v>60</v>
      </c>
      <c r="D307" s="6">
        <v>1583.0</v>
      </c>
      <c r="E307" s="6">
        <v>375.0</v>
      </c>
      <c r="F307" s="6">
        <v>375.0</v>
      </c>
      <c r="G307" s="6">
        <v>1583.0</v>
      </c>
      <c r="H307" s="6">
        <v>4.0</v>
      </c>
      <c r="I307" s="6">
        <v>67.0</v>
      </c>
      <c r="J307" s="6">
        <v>962.0</v>
      </c>
      <c r="K307" s="6">
        <v>207.0</v>
      </c>
      <c r="L307" s="4" t="s">
        <v>50</v>
      </c>
      <c r="M307" s="6">
        <v>1725.0</v>
      </c>
      <c r="N307" s="6">
        <v>1000.0</v>
      </c>
      <c r="O307" s="6">
        <v>1180.0</v>
      </c>
      <c r="P307" s="6">
        <v>413.0</v>
      </c>
      <c r="Q307" s="6">
        <v>4.0</v>
      </c>
      <c r="R307" s="6">
        <v>18.0</v>
      </c>
      <c r="S307" s="7"/>
      <c r="T307" s="6">
        <v>28.0</v>
      </c>
      <c r="U307" s="6">
        <v>449.0</v>
      </c>
      <c r="V307" s="7"/>
      <c r="W307" s="7"/>
      <c r="X307" s="8">
        <f t="shared" si="1"/>
        <v>2.421307506</v>
      </c>
      <c r="Y307" s="9">
        <f t="shared" si="2"/>
        <v>1413</v>
      </c>
      <c r="Z307" s="8">
        <f t="shared" si="3"/>
        <v>2.666666667</v>
      </c>
      <c r="AA307" s="8">
        <f t="shared" si="4"/>
        <v>1.101333333</v>
      </c>
      <c r="AB307" s="8">
        <f t="shared" si="5"/>
        <v>0.07466666667</v>
      </c>
      <c r="AC307" s="8">
        <f t="shared" si="6"/>
        <v>14.92537313</v>
      </c>
      <c r="AD307" s="8">
        <f t="shared" si="7"/>
        <v>6.164179104</v>
      </c>
      <c r="AE307" s="8">
        <f t="shared" si="8"/>
        <v>0.4179104478</v>
      </c>
      <c r="AF307" s="8">
        <f t="shared" si="9"/>
        <v>250</v>
      </c>
      <c r="AG307" s="8">
        <f t="shared" si="10"/>
        <v>103.25</v>
      </c>
      <c r="AH307" s="8">
        <f t="shared" si="11"/>
        <v>7</v>
      </c>
      <c r="AI307" s="10">
        <f t="shared" si="12"/>
        <v>1.03950104</v>
      </c>
      <c r="AJ307" s="11">
        <f t="shared" si="13"/>
        <v>0.4293139293</v>
      </c>
      <c r="AK307" s="12">
        <f t="shared" si="14"/>
        <v>0.02910602911</v>
      </c>
    </row>
    <row r="308">
      <c r="A308" s="4" t="s">
        <v>362</v>
      </c>
      <c r="B308" s="4" t="s">
        <v>341</v>
      </c>
      <c r="C308" s="4" t="s">
        <v>49</v>
      </c>
      <c r="D308" s="6">
        <v>1560.0</v>
      </c>
      <c r="E308" s="6">
        <v>370.0</v>
      </c>
      <c r="F308" s="6">
        <v>370.0</v>
      </c>
      <c r="G308" s="6">
        <v>1560.0</v>
      </c>
      <c r="H308" s="6">
        <v>4.0</v>
      </c>
      <c r="I308" s="6">
        <v>68.0</v>
      </c>
      <c r="J308" s="6">
        <v>977.0</v>
      </c>
      <c r="K308" s="6">
        <v>175.0</v>
      </c>
      <c r="L308" s="4" t="s">
        <v>50</v>
      </c>
      <c r="M308" s="6">
        <v>1365.0</v>
      </c>
      <c r="N308" s="6">
        <v>1200.0</v>
      </c>
      <c r="O308" s="6">
        <v>1485.0</v>
      </c>
      <c r="P308" s="6">
        <v>308.0</v>
      </c>
      <c r="Q308" s="6">
        <v>3.0</v>
      </c>
      <c r="R308" s="6">
        <v>12.0</v>
      </c>
      <c r="S308" s="7"/>
      <c r="T308" s="6">
        <v>32.0</v>
      </c>
      <c r="U308" s="6">
        <v>646.0</v>
      </c>
      <c r="V308" s="7"/>
      <c r="W308" s="7"/>
      <c r="X308" s="8">
        <f t="shared" si="1"/>
        <v>3.896103896</v>
      </c>
      <c r="Y308" s="9">
        <f t="shared" si="2"/>
        <v>1508</v>
      </c>
      <c r="Z308" s="8">
        <f t="shared" si="3"/>
        <v>3.243243243</v>
      </c>
      <c r="AA308" s="8">
        <f t="shared" si="4"/>
        <v>0.8324324324</v>
      </c>
      <c r="AB308" s="8">
        <f t="shared" si="5"/>
        <v>0.08648648649</v>
      </c>
      <c r="AC308" s="8">
        <f t="shared" si="6"/>
        <v>17.64705882</v>
      </c>
      <c r="AD308" s="8">
        <f t="shared" si="7"/>
        <v>4.529411765</v>
      </c>
      <c r="AE308" s="8">
        <f t="shared" si="8"/>
        <v>0.4705882353</v>
      </c>
      <c r="AF308" s="8">
        <f t="shared" si="9"/>
        <v>300</v>
      </c>
      <c r="AG308" s="8">
        <f t="shared" si="10"/>
        <v>77</v>
      </c>
      <c r="AH308" s="8">
        <f t="shared" si="11"/>
        <v>8</v>
      </c>
      <c r="AI308" s="10">
        <f t="shared" si="12"/>
        <v>1.228249744</v>
      </c>
      <c r="AJ308" s="11">
        <f t="shared" si="13"/>
        <v>0.3152507677</v>
      </c>
      <c r="AK308" s="12">
        <f t="shared" si="14"/>
        <v>0.03275332651</v>
      </c>
    </row>
    <row r="309">
      <c r="A309" s="4" t="s">
        <v>363</v>
      </c>
      <c r="B309" s="4" t="s">
        <v>341</v>
      </c>
      <c r="C309" s="4" t="s">
        <v>49</v>
      </c>
      <c r="D309" s="6">
        <v>1779.0</v>
      </c>
      <c r="E309" s="6">
        <v>422.0</v>
      </c>
      <c r="F309" s="6">
        <v>422.0</v>
      </c>
      <c r="G309" s="6">
        <v>1779.0</v>
      </c>
      <c r="H309" s="6">
        <v>5.0</v>
      </c>
      <c r="I309" s="6">
        <v>77.0</v>
      </c>
      <c r="J309" s="6">
        <v>1114.0</v>
      </c>
      <c r="K309" s="6">
        <v>217.0</v>
      </c>
      <c r="L309" s="4" t="s">
        <v>97</v>
      </c>
      <c r="M309" s="6">
        <v>1750.0</v>
      </c>
      <c r="N309" s="6">
        <v>1800.0</v>
      </c>
      <c r="O309" s="6">
        <v>1560.0</v>
      </c>
      <c r="P309" s="6">
        <v>308.0</v>
      </c>
      <c r="Q309" s="6">
        <v>4.0</v>
      </c>
      <c r="R309" s="6">
        <v>14.0</v>
      </c>
      <c r="S309" s="7"/>
      <c r="T309" s="6">
        <v>38.0</v>
      </c>
      <c r="U309" s="6">
        <v>449.0</v>
      </c>
      <c r="V309" s="7"/>
      <c r="W309" s="7"/>
      <c r="X309" s="8">
        <f t="shared" si="1"/>
        <v>5.844155844</v>
      </c>
      <c r="Y309" s="9">
        <f t="shared" si="2"/>
        <v>2108</v>
      </c>
      <c r="Z309" s="8">
        <f t="shared" si="3"/>
        <v>4.265402844</v>
      </c>
      <c r="AA309" s="8">
        <f t="shared" si="4"/>
        <v>0.7298578199</v>
      </c>
      <c r="AB309" s="8">
        <f t="shared" si="5"/>
        <v>0.09004739336</v>
      </c>
      <c r="AC309" s="8">
        <f t="shared" si="6"/>
        <v>23.37662338</v>
      </c>
      <c r="AD309" s="8">
        <f t="shared" si="7"/>
        <v>4</v>
      </c>
      <c r="AE309" s="8">
        <f t="shared" si="8"/>
        <v>0.4935064935</v>
      </c>
      <c r="AF309" s="8">
        <f t="shared" si="9"/>
        <v>360</v>
      </c>
      <c r="AG309" s="8">
        <f t="shared" si="10"/>
        <v>61.6</v>
      </c>
      <c r="AH309" s="8">
        <f t="shared" si="11"/>
        <v>7.6</v>
      </c>
      <c r="AI309" s="10">
        <f t="shared" si="12"/>
        <v>1.615798923</v>
      </c>
      <c r="AJ309" s="11">
        <f t="shared" si="13"/>
        <v>0.276481149</v>
      </c>
      <c r="AK309" s="12">
        <f t="shared" si="14"/>
        <v>0.03411131059</v>
      </c>
    </row>
    <row r="310">
      <c r="A310" s="4" t="s">
        <v>364</v>
      </c>
      <c r="B310" s="4" t="s">
        <v>341</v>
      </c>
      <c r="C310" s="4" t="s">
        <v>49</v>
      </c>
      <c r="D310" s="6">
        <v>2174.0</v>
      </c>
      <c r="E310" s="6">
        <v>516.0</v>
      </c>
      <c r="F310" s="6">
        <v>516.0</v>
      </c>
      <c r="G310" s="6">
        <v>2174.0</v>
      </c>
      <c r="H310" s="6">
        <v>5.0</v>
      </c>
      <c r="I310" s="6">
        <v>96.0</v>
      </c>
      <c r="J310" s="6">
        <v>1362.0</v>
      </c>
      <c r="K310" s="6">
        <v>236.0</v>
      </c>
      <c r="L310" s="4" t="s">
        <v>97</v>
      </c>
      <c r="M310" s="6">
        <v>1350.0</v>
      </c>
      <c r="N310" s="6">
        <v>1800.0</v>
      </c>
      <c r="O310" s="6">
        <v>1600.0</v>
      </c>
      <c r="P310" s="6">
        <v>308.0</v>
      </c>
      <c r="Q310" s="6">
        <v>4.0</v>
      </c>
      <c r="R310" s="6">
        <v>14.0</v>
      </c>
      <c r="S310" s="7"/>
      <c r="T310" s="6">
        <v>38.0</v>
      </c>
      <c r="U310" s="6">
        <v>539.0</v>
      </c>
      <c r="V310" s="7"/>
      <c r="W310" s="7"/>
      <c r="X310" s="8">
        <f t="shared" si="1"/>
        <v>5.844155844</v>
      </c>
      <c r="Y310" s="9">
        <f t="shared" si="2"/>
        <v>2108</v>
      </c>
      <c r="Z310" s="8">
        <f t="shared" si="3"/>
        <v>3.488372093</v>
      </c>
      <c r="AA310" s="8">
        <f t="shared" si="4"/>
        <v>0.5968992248</v>
      </c>
      <c r="AB310" s="8">
        <f t="shared" si="5"/>
        <v>0.07364341085</v>
      </c>
      <c r="AC310" s="8">
        <f t="shared" si="6"/>
        <v>18.75</v>
      </c>
      <c r="AD310" s="8">
        <f t="shared" si="7"/>
        <v>3.208333333</v>
      </c>
      <c r="AE310" s="8">
        <f t="shared" si="8"/>
        <v>0.3958333333</v>
      </c>
      <c r="AF310" s="8">
        <f t="shared" si="9"/>
        <v>360</v>
      </c>
      <c r="AG310" s="8">
        <f t="shared" si="10"/>
        <v>61.6</v>
      </c>
      <c r="AH310" s="8">
        <f t="shared" si="11"/>
        <v>7.6</v>
      </c>
      <c r="AI310" s="10">
        <f t="shared" si="12"/>
        <v>1.321585903</v>
      </c>
      <c r="AJ310" s="11">
        <f t="shared" si="13"/>
        <v>0.2261380323</v>
      </c>
      <c r="AK310" s="12">
        <f t="shared" si="14"/>
        <v>0.02790014684</v>
      </c>
    </row>
    <row r="311">
      <c r="A311" s="4" t="s">
        <v>365</v>
      </c>
      <c r="B311" s="4" t="s">
        <v>341</v>
      </c>
      <c r="C311" s="4" t="s">
        <v>92</v>
      </c>
      <c r="D311" s="6">
        <v>1303.0</v>
      </c>
      <c r="E311" s="6">
        <v>309.0</v>
      </c>
      <c r="F311" s="6">
        <v>309.0</v>
      </c>
      <c r="G311" s="6">
        <v>1303.0</v>
      </c>
      <c r="H311" s="6">
        <v>6.0</v>
      </c>
      <c r="I311" s="6">
        <v>56.0</v>
      </c>
      <c r="J311" s="6">
        <v>817.0</v>
      </c>
      <c r="K311" s="6">
        <v>207.0</v>
      </c>
      <c r="L311" s="4" t="s">
        <v>97</v>
      </c>
      <c r="M311" s="6">
        <v>1590.0</v>
      </c>
      <c r="N311" s="6">
        <v>1000.0</v>
      </c>
      <c r="O311" s="6">
        <v>1180.0</v>
      </c>
      <c r="P311" s="6">
        <v>361.0</v>
      </c>
      <c r="Q311" s="6">
        <v>4.0</v>
      </c>
      <c r="R311" s="6">
        <v>12.0</v>
      </c>
      <c r="S311" s="7"/>
      <c r="T311" s="6">
        <v>26.0</v>
      </c>
      <c r="U311" s="6">
        <v>449.0</v>
      </c>
      <c r="V311" s="7"/>
      <c r="W311" s="7"/>
      <c r="X311" s="8">
        <f t="shared" si="1"/>
        <v>2.770083102</v>
      </c>
      <c r="Y311" s="9">
        <f t="shared" si="2"/>
        <v>1361</v>
      </c>
      <c r="Z311" s="8">
        <f t="shared" si="3"/>
        <v>3.236245955</v>
      </c>
      <c r="AA311" s="8">
        <f t="shared" si="4"/>
        <v>1.16828479</v>
      </c>
      <c r="AB311" s="8">
        <f t="shared" si="5"/>
        <v>0.08414239482</v>
      </c>
      <c r="AC311" s="8">
        <f t="shared" si="6"/>
        <v>17.85714286</v>
      </c>
      <c r="AD311" s="8">
        <f t="shared" si="7"/>
        <v>6.446428571</v>
      </c>
      <c r="AE311" s="8">
        <f t="shared" si="8"/>
        <v>0.4642857143</v>
      </c>
      <c r="AF311" s="8">
        <f t="shared" si="9"/>
        <v>166.6666667</v>
      </c>
      <c r="AG311" s="8">
        <f t="shared" si="10"/>
        <v>60.16666667</v>
      </c>
      <c r="AH311" s="8">
        <f t="shared" si="11"/>
        <v>4.333333333</v>
      </c>
      <c r="AI311" s="10">
        <f t="shared" si="12"/>
        <v>1.223990208</v>
      </c>
      <c r="AJ311" s="11">
        <f t="shared" si="13"/>
        <v>0.4418604651</v>
      </c>
      <c r="AK311" s="12">
        <f t="shared" si="14"/>
        <v>0.03182374541</v>
      </c>
    </row>
    <row r="312">
      <c r="A312" s="4" t="s">
        <v>366</v>
      </c>
      <c r="B312" s="4" t="s">
        <v>341</v>
      </c>
      <c r="C312" s="4" t="s">
        <v>64</v>
      </c>
      <c r="D312" s="6">
        <v>915.0</v>
      </c>
      <c r="E312" s="6">
        <v>217.0</v>
      </c>
      <c r="F312" s="6">
        <v>217.0</v>
      </c>
      <c r="G312" s="6">
        <v>915.0</v>
      </c>
      <c r="H312" s="6">
        <v>4.0</v>
      </c>
      <c r="I312" s="6">
        <v>40.0</v>
      </c>
      <c r="J312" s="6">
        <v>574.0</v>
      </c>
      <c r="K312" s="6">
        <v>124.0</v>
      </c>
      <c r="L312" s="4" t="s">
        <v>97</v>
      </c>
      <c r="M312" s="6">
        <v>1395.0</v>
      </c>
      <c r="N312" s="6">
        <v>800.0</v>
      </c>
      <c r="O312" s="6">
        <v>990.0</v>
      </c>
      <c r="P312" s="6">
        <v>308.0</v>
      </c>
      <c r="Q312" s="6">
        <v>2.0</v>
      </c>
      <c r="R312" s="6">
        <v>12.0</v>
      </c>
      <c r="S312" s="7"/>
      <c r="T312" s="6">
        <v>22.0</v>
      </c>
      <c r="U312" s="6">
        <v>703.0</v>
      </c>
      <c r="V312" s="7"/>
      <c r="W312" s="7"/>
      <c r="X312" s="8">
        <f t="shared" si="1"/>
        <v>2.597402597</v>
      </c>
      <c r="Y312" s="9">
        <f t="shared" si="2"/>
        <v>1108</v>
      </c>
      <c r="Z312" s="8">
        <f t="shared" si="3"/>
        <v>3.686635945</v>
      </c>
      <c r="AA312" s="8">
        <f t="shared" si="4"/>
        <v>1.419354839</v>
      </c>
      <c r="AB312" s="8">
        <f t="shared" si="5"/>
        <v>0.1013824885</v>
      </c>
      <c r="AC312" s="8">
        <f t="shared" si="6"/>
        <v>20</v>
      </c>
      <c r="AD312" s="8">
        <f t="shared" si="7"/>
        <v>7.7</v>
      </c>
      <c r="AE312" s="8">
        <f t="shared" si="8"/>
        <v>0.55</v>
      </c>
      <c r="AF312" s="8">
        <f t="shared" si="9"/>
        <v>200</v>
      </c>
      <c r="AG312" s="8">
        <f t="shared" si="10"/>
        <v>77</v>
      </c>
      <c r="AH312" s="8">
        <f t="shared" si="11"/>
        <v>5.5</v>
      </c>
      <c r="AI312" s="10">
        <f t="shared" si="12"/>
        <v>1.393728223</v>
      </c>
      <c r="AJ312" s="11">
        <f t="shared" si="13"/>
        <v>0.5365853659</v>
      </c>
      <c r="AK312" s="12">
        <f t="shared" si="14"/>
        <v>0.03832752613</v>
      </c>
    </row>
    <row r="313">
      <c r="A313" s="4" t="s">
        <v>367</v>
      </c>
      <c r="B313" s="4" t="s">
        <v>341</v>
      </c>
      <c r="C313" s="4" t="s">
        <v>64</v>
      </c>
      <c r="D313" s="6">
        <v>1250.0</v>
      </c>
      <c r="E313" s="6">
        <v>297.0</v>
      </c>
      <c r="F313" s="6">
        <v>297.0</v>
      </c>
      <c r="G313" s="6">
        <v>1250.0</v>
      </c>
      <c r="H313" s="6">
        <v>4.0</v>
      </c>
      <c r="I313" s="6">
        <v>54.0</v>
      </c>
      <c r="J313" s="6">
        <v>784.0</v>
      </c>
      <c r="K313" s="6">
        <v>129.0</v>
      </c>
      <c r="L313" s="4" t="s">
        <v>97</v>
      </c>
      <c r="M313" s="6">
        <v>1395.0</v>
      </c>
      <c r="N313" s="6">
        <v>800.0</v>
      </c>
      <c r="O313" s="6">
        <v>990.0</v>
      </c>
      <c r="P313" s="6">
        <v>308.0</v>
      </c>
      <c r="Q313" s="6">
        <v>2.0</v>
      </c>
      <c r="R313" s="6">
        <v>12.0</v>
      </c>
      <c r="S313" s="7"/>
      <c r="T313" s="6">
        <v>22.0</v>
      </c>
      <c r="U313" s="6">
        <v>843.0</v>
      </c>
      <c r="V313" s="7"/>
      <c r="W313" s="7"/>
      <c r="X313" s="8">
        <f t="shared" si="1"/>
        <v>2.597402597</v>
      </c>
      <c r="Y313" s="9">
        <f t="shared" si="2"/>
        <v>1108</v>
      </c>
      <c r="Z313" s="8">
        <f t="shared" si="3"/>
        <v>2.693602694</v>
      </c>
      <c r="AA313" s="8">
        <f t="shared" si="4"/>
        <v>1.037037037</v>
      </c>
      <c r="AB313" s="8">
        <f t="shared" si="5"/>
        <v>0.07407407407</v>
      </c>
      <c r="AC313" s="8">
        <f t="shared" si="6"/>
        <v>14.81481481</v>
      </c>
      <c r="AD313" s="8">
        <f t="shared" si="7"/>
        <v>5.703703704</v>
      </c>
      <c r="AE313" s="8">
        <f t="shared" si="8"/>
        <v>0.4074074074</v>
      </c>
      <c r="AF313" s="8">
        <f t="shared" si="9"/>
        <v>200</v>
      </c>
      <c r="AG313" s="8">
        <f t="shared" si="10"/>
        <v>77</v>
      </c>
      <c r="AH313" s="8">
        <f t="shared" si="11"/>
        <v>5.5</v>
      </c>
      <c r="AI313" s="10">
        <f t="shared" si="12"/>
        <v>1.020408163</v>
      </c>
      <c r="AJ313" s="11">
        <f t="shared" si="13"/>
        <v>0.3928571429</v>
      </c>
      <c r="AK313" s="12">
        <f t="shared" si="14"/>
        <v>0.02806122449</v>
      </c>
    </row>
    <row r="314">
      <c r="A314" s="4" t="s">
        <v>368</v>
      </c>
      <c r="B314" s="4" t="s">
        <v>341</v>
      </c>
      <c r="C314" s="4" t="s">
        <v>92</v>
      </c>
      <c r="D314" s="6">
        <v>1404.0</v>
      </c>
      <c r="E314" s="6">
        <v>334.0</v>
      </c>
      <c r="F314" s="6">
        <v>334.0</v>
      </c>
      <c r="G314" s="6">
        <v>1404.0</v>
      </c>
      <c r="H314" s="6">
        <v>6.0</v>
      </c>
      <c r="I314" s="6">
        <v>61.0</v>
      </c>
      <c r="J314" s="6">
        <v>879.0</v>
      </c>
      <c r="K314" s="6">
        <v>213.0</v>
      </c>
      <c r="L314" s="4" t="s">
        <v>50</v>
      </c>
      <c r="M314" s="6">
        <v>1635.0</v>
      </c>
      <c r="N314" s="6">
        <v>1200.0</v>
      </c>
      <c r="O314" s="6">
        <v>1320.0</v>
      </c>
      <c r="P314" s="6">
        <v>361.0</v>
      </c>
      <c r="Q314" s="6">
        <v>3.0</v>
      </c>
      <c r="R314" s="6">
        <v>12.0</v>
      </c>
      <c r="S314" s="7"/>
      <c r="T314" s="6">
        <v>25.0</v>
      </c>
      <c r="U314" s="6">
        <v>449.0</v>
      </c>
      <c r="V314" s="7"/>
      <c r="W314" s="7"/>
      <c r="X314" s="8">
        <f t="shared" si="1"/>
        <v>3.324099723</v>
      </c>
      <c r="Y314" s="9">
        <f t="shared" si="2"/>
        <v>1561</v>
      </c>
      <c r="Z314" s="8">
        <f t="shared" si="3"/>
        <v>3.592814371</v>
      </c>
      <c r="AA314" s="8">
        <f t="shared" si="4"/>
        <v>1.080838323</v>
      </c>
      <c r="AB314" s="8">
        <f t="shared" si="5"/>
        <v>0.0748502994</v>
      </c>
      <c r="AC314" s="8">
        <f t="shared" si="6"/>
        <v>19.67213115</v>
      </c>
      <c r="AD314" s="8">
        <f t="shared" si="7"/>
        <v>5.918032787</v>
      </c>
      <c r="AE314" s="8">
        <f t="shared" si="8"/>
        <v>0.4098360656</v>
      </c>
      <c r="AF314" s="8">
        <f t="shared" si="9"/>
        <v>200</v>
      </c>
      <c r="AG314" s="8">
        <f t="shared" si="10"/>
        <v>60.16666667</v>
      </c>
      <c r="AH314" s="8">
        <f t="shared" si="11"/>
        <v>4.166666667</v>
      </c>
      <c r="AI314" s="10">
        <f t="shared" si="12"/>
        <v>1.365187713</v>
      </c>
      <c r="AJ314" s="11">
        <f t="shared" si="13"/>
        <v>0.4106939704</v>
      </c>
      <c r="AK314" s="12">
        <f t="shared" si="14"/>
        <v>0.02844141069</v>
      </c>
    </row>
    <row r="315">
      <c r="A315" s="4" t="s">
        <v>369</v>
      </c>
      <c r="B315" s="4" t="s">
        <v>341</v>
      </c>
      <c r="C315" s="4" t="s">
        <v>60</v>
      </c>
      <c r="D315" s="6">
        <v>825.0</v>
      </c>
      <c r="E315" s="6">
        <v>195.0</v>
      </c>
      <c r="F315" s="6">
        <v>195.0</v>
      </c>
      <c r="G315" s="6">
        <v>825.0</v>
      </c>
      <c r="H315" s="6">
        <v>2.0</v>
      </c>
      <c r="I315" s="6">
        <v>35.0</v>
      </c>
      <c r="J315" s="6">
        <v>502.0</v>
      </c>
      <c r="K315" s="6">
        <v>165.0</v>
      </c>
      <c r="L315" s="4" t="s">
        <v>50</v>
      </c>
      <c r="M315" s="6">
        <v>1350.0</v>
      </c>
      <c r="N315" s="6">
        <v>600.0</v>
      </c>
      <c r="O315" s="6">
        <v>770.0</v>
      </c>
      <c r="P315" s="6">
        <v>308.0</v>
      </c>
      <c r="Q315" s="6">
        <v>1.0</v>
      </c>
      <c r="R315" s="6">
        <v>9.0</v>
      </c>
      <c r="S315" s="7"/>
      <c r="T315" s="6">
        <v>16.0</v>
      </c>
      <c r="U315" s="6">
        <v>674.0</v>
      </c>
      <c r="V315" s="7"/>
      <c r="W315" s="7"/>
      <c r="X315" s="8">
        <f t="shared" si="1"/>
        <v>1.948051948</v>
      </c>
      <c r="Y315" s="9">
        <f t="shared" si="2"/>
        <v>908</v>
      </c>
      <c r="Z315" s="8">
        <f t="shared" si="3"/>
        <v>3.076923077</v>
      </c>
      <c r="AA315" s="8">
        <f t="shared" si="4"/>
        <v>1.579487179</v>
      </c>
      <c r="AB315" s="8">
        <f t="shared" si="5"/>
        <v>0.08205128205</v>
      </c>
      <c r="AC315" s="8">
        <f t="shared" si="6"/>
        <v>17.14285714</v>
      </c>
      <c r="AD315" s="8">
        <f t="shared" si="7"/>
        <v>8.8</v>
      </c>
      <c r="AE315" s="8">
        <f t="shared" si="8"/>
        <v>0.4571428571</v>
      </c>
      <c r="AF315" s="8">
        <f t="shared" si="9"/>
        <v>300</v>
      </c>
      <c r="AG315" s="8">
        <f t="shared" si="10"/>
        <v>154</v>
      </c>
      <c r="AH315" s="8">
        <f t="shared" si="11"/>
        <v>8</v>
      </c>
      <c r="AI315" s="10">
        <f t="shared" si="12"/>
        <v>1.195219124</v>
      </c>
      <c r="AJ315" s="11">
        <f t="shared" si="13"/>
        <v>0.6135458167</v>
      </c>
      <c r="AK315" s="12">
        <f t="shared" si="14"/>
        <v>0.03187250996</v>
      </c>
    </row>
    <row r="316">
      <c r="A316" s="4" t="s">
        <v>370</v>
      </c>
      <c r="B316" s="4" t="s">
        <v>341</v>
      </c>
      <c r="C316" s="4" t="s">
        <v>60</v>
      </c>
      <c r="D316" s="6">
        <v>1154.0</v>
      </c>
      <c r="E316" s="6">
        <v>273.0</v>
      </c>
      <c r="F316" s="6">
        <v>273.0</v>
      </c>
      <c r="G316" s="6">
        <v>1154.0</v>
      </c>
      <c r="H316" s="6">
        <v>2.0</v>
      </c>
      <c r="I316" s="6">
        <v>49.0</v>
      </c>
      <c r="J316" s="6">
        <v>703.0</v>
      </c>
      <c r="K316" s="6">
        <v>165.0</v>
      </c>
      <c r="L316" s="4" t="s">
        <v>50</v>
      </c>
      <c r="M316" s="6">
        <v>1350.0</v>
      </c>
      <c r="N316" s="6">
        <v>600.0</v>
      </c>
      <c r="O316" s="6">
        <v>770.0</v>
      </c>
      <c r="P316" s="6">
        <v>409.0</v>
      </c>
      <c r="Q316" s="6">
        <v>1.0</v>
      </c>
      <c r="R316" s="6">
        <v>9.0</v>
      </c>
      <c r="S316" s="7"/>
      <c r="T316" s="6">
        <v>16.0</v>
      </c>
      <c r="U316" s="6">
        <v>674.0</v>
      </c>
      <c r="V316" s="7"/>
      <c r="W316" s="7"/>
      <c r="X316" s="8">
        <f t="shared" si="1"/>
        <v>1.466992665</v>
      </c>
      <c r="Y316" s="9">
        <f t="shared" si="2"/>
        <v>1009</v>
      </c>
      <c r="Z316" s="8">
        <f t="shared" si="3"/>
        <v>2.197802198</v>
      </c>
      <c r="AA316" s="8">
        <f t="shared" si="4"/>
        <v>1.498168498</v>
      </c>
      <c r="AB316" s="8">
        <f t="shared" si="5"/>
        <v>0.05860805861</v>
      </c>
      <c r="AC316" s="8">
        <f t="shared" si="6"/>
        <v>12.24489796</v>
      </c>
      <c r="AD316" s="8">
        <f t="shared" si="7"/>
        <v>8.346938776</v>
      </c>
      <c r="AE316" s="8">
        <f t="shared" si="8"/>
        <v>0.3265306122</v>
      </c>
      <c r="AF316" s="8">
        <f t="shared" si="9"/>
        <v>300</v>
      </c>
      <c r="AG316" s="8">
        <f t="shared" si="10"/>
        <v>204.5</v>
      </c>
      <c r="AH316" s="8">
        <f t="shared" si="11"/>
        <v>8</v>
      </c>
      <c r="AI316" s="10">
        <f t="shared" si="12"/>
        <v>0.853485064</v>
      </c>
      <c r="AJ316" s="11">
        <f t="shared" si="13"/>
        <v>0.5817923186</v>
      </c>
      <c r="AK316" s="12">
        <f t="shared" si="14"/>
        <v>0.02275960171</v>
      </c>
    </row>
    <row r="317">
      <c r="A317" s="4" t="s">
        <v>371</v>
      </c>
      <c r="B317" s="4" t="s">
        <v>341</v>
      </c>
      <c r="C317" s="4" t="s">
        <v>60</v>
      </c>
      <c r="D317" s="6">
        <v>1209.0</v>
      </c>
      <c r="E317" s="6">
        <v>287.0</v>
      </c>
      <c r="F317" s="6">
        <v>287.0</v>
      </c>
      <c r="G317" s="6">
        <v>1209.0</v>
      </c>
      <c r="H317" s="6">
        <v>2.0</v>
      </c>
      <c r="I317" s="6">
        <v>51.0</v>
      </c>
      <c r="J317" s="6">
        <v>736.0</v>
      </c>
      <c r="K317" s="6">
        <v>165.0</v>
      </c>
      <c r="L317" s="4" t="s">
        <v>50</v>
      </c>
      <c r="M317" s="6">
        <v>1350.0</v>
      </c>
      <c r="N317" s="6">
        <v>600.0</v>
      </c>
      <c r="O317" s="6">
        <v>1155.0</v>
      </c>
      <c r="P317" s="6">
        <v>308.0</v>
      </c>
      <c r="Q317" s="6">
        <v>1.0</v>
      </c>
      <c r="R317" s="6">
        <v>9.0</v>
      </c>
      <c r="S317" s="7"/>
      <c r="T317" s="6">
        <v>16.0</v>
      </c>
      <c r="U317" s="6">
        <v>674.0</v>
      </c>
      <c r="V317" s="7"/>
      <c r="W317" s="7"/>
      <c r="X317" s="8">
        <f t="shared" si="1"/>
        <v>1.948051948</v>
      </c>
      <c r="Y317" s="9">
        <f t="shared" si="2"/>
        <v>908</v>
      </c>
      <c r="Z317" s="8">
        <f t="shared" si="3"/>
        <v>2.090592334</v>
      </c>
      <c r="AA317" s="8">
        <f t="shared" si="4"/>
        <v>1.073170732</v>
      </c>
      <c r="AB317" s="8">
        <f t="shared" si="5"/>
        <v>0.05574912892</v>
      </c>
      <c r="AC317" s="8">
        <f t="shared" si="6"/>
        <v>11.76470588</v>
      </c>
      <c r="AD317" s="8">
        <f t="shared" si="7"/>
        <v>6.039215686</v>
      </c>
      <c r="AE317" s="8">
        <f t="shared" si="8"/>
        <v>0.3137254902</v>
      </c>
      <c r="AF317" s="8">
        <f t="shared" si="9"/>
        <v>300</v>
      </c>
      <c r="AG317" s="8">
        <f t="shared" si="10"/>
        <v>154</v>
      </c>
      <c r="AH317" s="8">
        <f t="shared" si="11"/>
        <v>8</v>
      </c>
      <c r="AI317" s="10">
        <f t="shared" si="12"/>
        <v>0.8152173913</v>
      </c>
      <c r="AJ317" s="11">
        <f t="shared" si="13"/>
        <v>0.4184782609</v>
      </c>
      <c r="AK317" s="12">
        <f t="shared" si="14"/>
        <v>0.02173913043</v>
      </c>
    </row>
    <row r="318">
      <c r="A318" s="4" t="s">
        <v>372</v>
      </c>
      <c r="B318" s="4" t="s">
        <v>341</v>
      </c>
      <c r="C318" s="4" t="s">
        <v>92</v>
      </c>
      <c r="D318" s="6">
        <v>1156.0</v>
      </c>
      <c r="E318" s="6">
        <v>274.0</v>
      </c>
      <c r="F318" s="6">
        <v>274.0</v>
      </c>
      <c r="G318" s="6">
        <v>1156.0</v>
      </c>
      <c r="H318" s="6">
        <v>12.0</v>
      </c>
      <c r="I318" s="6">
        <v>50.0</v>
      </c>
      <c r="J318" s="6">
        <v>724.0</v>
      </c>
      <c r="K318" s="6">
        <v>199.0</v>
      </c>
      <c r="L318" s="4" t="s">
        <v>50</v>
      </c>
      <c r="M318" s="6">
        <v>1290.0</v>
      </c>
      <c r="N318" s="6">
        <v>800.0</v>
      </c>
      <c r="O318" s="6">
        <v>800.0</v>
      </c>
      <c r="P318" s="6">
        <v>307.0</v>
      </c>
      <c r="Q318" s="6">
        <v>3.0</v>
      </c>
      <c r="R318" s="6">
        <v>11.0</v>
      </c>
      <c r="S318" s="7"/>
      <c r="T318" s="6">
        <v>24.0</v>
      </c>
      <c r="U318" s="6">
        <v>506.0</v>
      </c>
      <c r="V318" s="7"/>
      <c r="W318" s="7"/>
      <c r="X318" s="8">
        <f t="shared" si="1"/>
        <v>2.605863192</v>
      </c>
      <c r="Y318" s="9">
        <f t="shared" si="2"/>
        <v>1107</v>
      </c>
      <c r="Z318" s="8">
        <f t="shared" si="3"/>
        <v>2.919708029</v>
      </c>
      <c r="AA318" s="8">
        <f t="shared" si="4"/>
        <v>1.120437956</v>
      </c>
      <c r="AB318" s="8">
        <f t="shared" si="5"/>
        <v>0.08759124088</v>
      </c>
      <c r="AC318" s="8">
        <f t="shared" si="6"/>
        <v>16</v>
      </c>
      <c r="AD318" s="8">
        <f t="shared" si="7"/>
        <v>6.14</v>
      </c>
      <c r="AE318" s="8">
        <f t="shared" si="8"/>
        <v>0.48</v>
      </c>
      <c r="AF318" s="8">
        <f t="shared" si="9"/>
        <v>66.66666667</v>
      </c>
      <c r="AG318" s="8">
        <f t="shared" si="10"/>
        <v>25.58333333</v>
      </c>
      <c r="AH318" s="8">
        <f t="shared" si="11"/>
        <v>2</v>
      </c>
      <c r="AI318" s="10">
        <f t="shared" si="12"/>
        <v>1.104972376</v>
      </c>
      <c r="AJ318" s="11">
        <f t="shared" si="13"/>
        <v>0.4240331492</v>
      </c>
      <c r="AK318" s="12">
        <f t="shared" si="14"/>
        <v>0.03314917127</v>
      </c>
    </row>
    <row r="319">
      <c r="A319" s="4" t="s">
        <v>372</v>
      </c>
      <c r="B319" s="4" t="s">
        <v>341</v>
      </c>
      <c r="C319" s="4" t="s">
        <v>91</v>
      </c>
      <c r="D319" s="6">
        <v>810.0</v>
      </c>
      <c r="E319" s="6">
        <v>193.0</v>
      </c>
      <c r="F319" s="6">
        <v>193.0</v>
      </c>
      <c r="G319" s="6">
        <v>810.0</v>
      </c>
      <c r="H319" s="6">
        <v>6.0</v>
      </c>
      <c r="I319" s="6">
        <v>35.0</v>
      </c>
      <c r="J319" s="6">
        <v>507.0</v>
      </c>
      <c r="K319" s="6">
        <v>179.0</v>
      </c>
      <c r="L319" s="4" t="s">
        <v>50</v>
      </c>
      <c r="M319" s="6">
        <v>1305.0</v>
      </c>
      <c r="N319" s="6">
        <v>225.0</v>
      </c>
      <c r="O319" s="6">
        <v>350.0</v>
      </c>
      <c r="P319" s="6">
        <v>307.0</v>
      </c>
      <c r="Q319" s="6">
        <v>3.0</v>
      </c>
      <c r="R319" s="6">
        <v>11.0</v>
      </c>
      <c r="S319" s="7"/>
      <c r="T319" s="6">
        <v>24.0</v>
      </c>
      <c r="U319" s="6">
        <v>506.0</v>
      </c>
      <c r="V319" s="7"/>
      <c r="W319" s="7"/>
      <c r="X319" s="8">
        <f t="shared" si="1"/>
        <v>0.7328990228</v>
      </c>
      <c r="Y319" s="9">
        <f t="shared" si="2"/>
        <v>532</v>
      </c>
      <c r="Z319" s="8">
        <f t="shared" si="3"/>
        <v>1.165803109</v>
      </c>
      <c r="AA319" s="8">
        <f t="shared" si="4"/>
        <v>1.590673575</v>
      </c>
      <c r="AB319" s="8">
        <f t="shared" si="5"/>
        <v>0.1243523316</v>
      </c>
      <c r="AC319" s="8">
        <f t="shared" si="6"/>
        <v>6.428571429</v>
      </c>
      <c r="AD319" s="8">
        <f t="shared" si="7"/>
        <v>8.771428571</v>
      </c>
      <c r="AE319" s="8">
        <f t="shared" si="8"/>
        <v>0.6857142857</v>
      </c>
      <c r="AF319" s="8">
        <f t="shared" si="9"/>
        <v>37.5</v>
      </c>
      <c r="AG319" s="8">
        <f t="shared" si="10"/>
        <v>51.16666667</v>
      </c>
      <c r="AH319" s="8">
        <f t="shared" si="11"/>
        <v>4</v>
      </c>
      <c r="AI319" s="10">
        <f t="shared" si="12"/>
        <v>0.4437869822</v>
      </c>
      <c r="AJ319" s="11">
        <f t="shared" si="13"/>
        <v>0.6055226824</v>
      </c>
      <c r="AK319" s="12">
        <f t="shared" si="14"/>
        <v>0.04733727811</v>
      </c>
    </row>
    <row r="320">
      <c r="A320" s="4" t="s">
        <v>373</v>
      </c>
      <c r="B320" s="4" t="s">
        <v>341</v>
      </c>
      <c r="C320" s="4" t="s">
        <v>91</v>
      </c>
      <c r="D320" s="6">
        <v>661.0</v>
      </c>
      <c r="E320" s="6">
        <v>157.0</v>
      </c>
      <c r="F320" s="6">
        <v>157.0</v>
      </c>
      <c r="G320" s="6">
        <v>661.0</v>
      </c>
      <c r="H320" s="6">
        <v>6.0</v>
      </c>
      <c r="I320" s="6">
        <v>28.0</v>
      </c>
      <c r="J320" s="6">
        <v>414.0</v>
      </c>
      <c r="K320" s="6">
        <v>179.0</v>
      </c>
      <c r="L320" s="4" t="s">
        <v>50</v>
      </c>
      <c r="M320" s="6">
        <v>1736.0</v>
      </c>
      <c r="N320" s="6">
        <v>225.0</v>
      </c>
      <c r="O320" s="6">
        <v>350.0</v>
      </c>
      <c r="P320" s="6">
        <v>307.0</v>
      </c>
      <c r="Q320" s="6">
        <v>3.0</v>
      </c>
      <c r="R320" s="6">
        <v>11.0</v>
      </c>
      <c r="S320" s="7"/>
      <c r="T320" s="6">
        <v>24.0</v>
      </c>
      <c r="U320" s="6">
        <v>506.0</v>
      </c>
      <c r="V320" s="7"/>
      <c r="W320" s="7"/>
      <c r="X320" s="8">
        <f t="shared" si="1"/>
        <v>0.7328990228</v>
      </c>
      <c r="Y320" s="9">
        <f t="shared" si="2"/>
        <v>532</v>
      </c>
      <c r="Z320" s="8">
        <f t="shared" si="3"/>
        <v>1.433121019</v>
      </c>
      <c r="AA320" s="8">
        <f t="shared" si="4"/>
        <v>1.955414013</v>
      </c>
      <c r="AB320" s="8">
        <f t="shared" si="5"/>
        <v>0.152866242</v>
      </c>
      <c r="AC320" s="8">
        <f t="shared" si="6"/>
        <v>8.035714286</v>
      </c>
      <c r="AD320" s="8">
        <f t="shared" si="7"/>
        <v>10.96428571</v>
      </c>
      <c r="AE320" s="8">
        <f t="shared" si="8"/>
        <v>0.8571428571</v>
      </c>
      <c r="AF320" s="8">
        <f t="shared" si="9"/>
        <v>37.5</v>
      </c>
      <c r="AG320" s="8">
        <f t="shared" si="10"/>
        <v>51.16666667</v>
      </c>
      <c r="AH320" s="8">
        <f t="shared" si="11"/>
        <v>4</v>
      </c>
      <c r="AI320" s="10">
        <f t="shared" si="12"/>
        <v>0.5434782609</v>
      </c>
      <c r="AJ320" s="11">
        <f t="shared" si="13"/>
        <v>0.7415458937</v>
      </c>
      <c r="AK320" s="12">
        <f t="shared" si="14"/>
        <v>0.05797101449</v>
      </c>
    </row>
    <row r="321">
      <c r="A321" s="4" t="s">
        <v>374</v>
      </c>
      <c r="B321" s="4" t="s">
        <v>341</v>
      </c>
      <c r="C321" s="4" t="s">
        <v>91</v>
      </c>
      <c r="D321" s="6">
        <v>824.0</v>
      </c>
      <c r="E321" s="6">
        <v>195.0</v>
      </c>
      <c r="F321" s="6">
        <v>195.0</v>
      </c>
      <c r="G321" s="6">
        <v>824.0</v>
      </c>
      <c r="H321" s="6">
        <v>6.0</v>
      </c>
      <c r="I321" s="6">
        <v>36.0</v>
      </c>
      <c r="J321" s="6">
        <v>517.0</v>
      </c>
      <c r="K321" s="6">
        <v>179.0</v>
      </c>
      <c r="L321" s="4" t="s">
        <v>50</v>
      </c>
      <c r="M321" s="6">
        <v>1305.0</v>
      </c>
      <c r="N321" s="6">
        <v>225.0</v>
      </c>
      <c r="O321" s="6">
        <v>350.0</v>
      </c>
      <c r="P321" s="6">
        <v>409.0</v>
      </c>
      <c r="Q321" s="6">
        <v>3.0</v>
      </c>
      <c r="R321" s="6">
        <v>11.0</v>
      </c>
      <c r="S321" s="7"/>
      <c r="T321" s="6">
        <v>24.0</v>
      </c>
      <c r="U321" s="6">
        <v>506.0</v>
      </c>
      <c r="V321" s="7"/>
      <c r="W321" s="7"/>
      <c r="X321" s="8">
        <f t="shared" si="1"/>
        <v>0.5501222494</v>
      </c>
      <c r="Y321" s="9">
        <f t="shared" si="2"/>
        <v>634</v>
      </c>
      <c r="Z321" s="8">
        <f t="shared" si="3"/>
        <v>1.153846154</v>
      </c>
      <c r="AA321" s="8">
        <f t="shared" si="4"/>
        <v>2.097435897</v>
      </c>
      <c r="AB321" s="8">
        <f t="shared" si="5"/>
        <v>0.1230769231</v>
      </c>
      <c r="AC321" s="8">
        <f t="shared" si="6"/>
        <v>6.25</v>
      </c>
      <c r="AD321" s="8">
        <f t="shared" si="7"/>
        <v>11.36111111</v>
      </c>
      <c r="AE321" s="8">
        <f t="shared" si="8"/>
        <v>0.6666666667</v>
      </c>
      <c r="AF321" s="8">
        <f t="shared" si="9"/>
        <v>37.5</v>
      </c>
      <c r="AG321" s="8">
        <f t="shared" si="10"/>
        <v>68.16666667</v>
      </c>
      <c r="AH321" s="8">
        <f t="shared" si="11"/>
        <v>4</v>
      </c>
      <c r="AI321" s="10">
        <f t="shared" si="12"/>
        <v>0.4352030948</v>
      </c>
      <c r="AJ321" s="11">
        <f t="shared" si="13"/>
        <v>0.7911025145</v>
      </c>
      <c r="AK321" s="12">
        <f t="shared" si="14"/>
        <v>0.04642166344</v>
      </c>
    </row>
    <row r="322">
      <c r="A322" s="4" t="s">
        <v>375</v>
      </c>
      <c r="B322" s="4" t="s">
        <v>341</v>
      </c>
      <c r="C322" s="4" t="s">
        <v>91</v>
      </c>
      <c r="D322" s="6">
        <v>915.0</v>
      </c>
      <c r="E322" s="6">
        <v>217.0</v>
      </c>
      <c r="F322" s="6">
        <v>217.0</v>
      </c>
      <c r="G322" s="6">
        <v>915.0</v>
      </c>
      <c r="H322" s="6">
        <v>6.0</v>
      </c>
      <c r="I322" s="6">
        <v>40.0</v>
      </c>
      <c r="J322" s="6">
        <v>574.0</v>
      </c>
      <c r="K322" s="6">
        <v>179.0</v>
      </c>
      <c r="L322" s="4" t="s">
        <v>50</v>
      </c>
      <c r="M322" s="6">
        <v>1305.0</v>
      </c>
      <c r="N322" s="6">
        <v>225.0</v>
      </c>
      <c r="O322" s="6">
        <v>350.0</v>
      </c>
      <c r="P322" s="6">
        <v>307.0</v>
      </c>
      <c r="Q322" s="6">
        <v>3.0</v>
      </c>
      <c r="R322" s="6">
        <v>11.0</v>
      </c>
      <c r="S322" s="7"/>
      <c r="T322" s="6">
        <v>24.0</v>
      </c>
      <c r="U322" s="6">
        <v>506.0</v>
      </c>
      <c r="V322" s="7"/>
      <c r="W322" s="7"/>
      <c r="X322" s="8">
        <f t="shared" si="1"/>
        <v>0.7328990228</v>
      </c>
      <c r="Y322" s="9">
        <f t="shared" si="2"/>
        <v>532</v>
      </c>
      <c r="Z322" s="8">
        <f t="shared" si="3"/>
        <v>1.036866359</v>
      </c>
      <c r="AA322" s="8">
        <f t="shared" si="4"/>
        <v>1.414746544</v>
      </c>
      <c r="AB322" s="8">
        <f t="shared" si="5"/>
        <v>0.1105990783</v>
      </c>
      <c r="AC322" s="8">
        <f t="shared" si="6"/>
        <v>5.625</v>
      </c>
      <c r="AD322" s="8">
        <f t="shared" si="7"/>
        <v>7.675</v>
      </c>
      <c r="AE322" s="8">
        <f t="shared" si="8"/>
        <v>0.6</v>
      </c>
      <c r="AF322" s="8">
        <f t="shared" si="9"/>
        <v>37.5</v>
      </c>
      <c r="AG322" s="8">
        <f t="shared" si="10"/>
        <v>51.16666667</v>
      </c>
      <c r="AH322" s="8">
        <f t="shared" si="11"/>
        <v>4</v>
      </c>
      <c r="AI322" s="10">
        <f t="shared" si="12"/>
        <v>0.3919860627</v>
      </c>
      <c r="AJ322" s="11">
        <f t="shared" si="13"/>
        <v>0.5348432056</v>
      </c>
      <c r="AK322" s="12">
        <f t="shared" si="14"/>
        <v>0.04181184669</v>
      </c>
    </row>
    <row r="323">
      <c r="A323" s="4" t="s">
        <v>60</v>
      </c>
      <c r="B323" s="4" t="s">
        <v>341</v>
      </c>
      <c r="C323" s="4" t="s">
        <v>70</v>
      </c>
      <c r="D323" s="6">
        <v>913.0</v>
      </c>
      <c r="E323" s="6">
        <v>434.0</v>
      </c>
      <c r="F323" s="6">
        <v>217.0</v>
      </c>
      <c r="G323" s="6">
        <v>3654.0</v>
      </c>
      <c r="H323" s="6">
        <v>0.0</v>
      </c>
      <c r="I323" s="6">
        <v>59.0</v>
      </c>
      <c r="J323" s="6">
        <v>1145.0</v>
      </c>
      <c r="K323" s="6">
        <v>177.0</v>
      </c>
      <c r="L323" s="4" t="s">
        <v>50</v>
      </c>
      <c r="M323" s="6">
        <v>1260.0</v>
      </c>
      <c r="N323" s="6">
        <v>400.0</v>
      </c>
      <c r="O323" s="6">
        <v>600.0</v>
      </c>
      <c r="P323" s="6">
        <v>307.0</v>
      </c>
      <c r="Q323" s="6">
        <v>3.0</v>
      </c>
      <c r="R323" s="6">
        <v>11.0</v>
      </c>
      <c r="S323" s="7"/>
      <c r="T323" s="6">
        <v>18.0</v>
      </c>
      <c r="U323" s="6">
        <v>590.0</v>
      </c>
      <c r="V323" s="7"/>
      <c r="W323" s="7"/>
      <c r="X323" s="8">
        <f t="shared" si="1"/>
        <v>1.302931596</v>
      </c>
      <c r="Y323" s="9">
        <f t="shared" si="2"/>
        <v>707</v>
      </c>
      <c r="Z323" s="8">
        <f t="shared" si="3"/>
        <v>0.9216589862</v>
      </c>
      <c r="AA323" s="8">
        <f t="shared" si="4"/>
        <v>0.7073732719</v>
      </c>
      <c r="AB323" s="8">
        <f t="shared" si="5"/>
        <v>0.04147465438</v>
      </c>
      <c r="AC323" s="8">
        <f t="shared" si="6"/>
        <v>6.779661017</v>
      </c>
      <c r="AD323" s="8">
        <f t="shared" si="7"/>
        <v>5.203389831</v>
      </c>
      <c r="AE323" s="8">
        <f t="shared" si="8"/>
        <v>0.3050847458</v>
      </c>
      <c r="AF323" s="8" t="str">
        <f t="shared" si="9"/>
        <v>#DIV/0!</v>
      </c>
      <c r="AG323" s="8" t="str">
        <f t="shared" si="10"/>
        <v>#DIV/0!</v>
      </c>
      <c r="AH323" s="8" t="str">
        <f t="shared" si="11"/>
        <v>#DIV/0!</v>
      </c>
      <c r="AI323" s="10">
        <f t="shared" si="12"/>
        <v>0.3493449782</v>
      </c>
      <c r="AJ323" s="11">
        <f t="shared" si="13"/>
        <v>0.2681222707</v>
      </c>
      <c r="AK323" s="12">
        <f t="shared" si="14"/>
        <v>0.01572052402</v>
      </c>
    </row>
    <row r="324">
      <c r="A324" s="4" t="s">
        <v>376</v>
      </c>
      <c r="B324" s="4" t="s">
        <v>341</v>
      </c>
      <c r="C324" s="4" t="s">
        <v>70</v>
      </c>
      <c r="D324" s="6">
        <v>1110.0</v>
      </c>
      <c r="E324" s="6">
        <v>528.0</v>
      </c>
      <c r="F324" s="6">
        <v>264.0</v>
      </c>
      <c r="G324" s="6">
        <v>4442.0</v>
      </c>
      <c r="H324" s="6">
        <v>0.0</v>
      </c>
      <c r="I324" s="6">
        <v>72.0</v>
      </c>
      <c r="J324" s="6">
        <v>1392.0</v>
      </c>
      <c r="K324" s="6">
        <v>185.0</v>
      </c>
      <c r="L324" s="4" t="s">
        <v>50</v>
      </c>
      <c r="M324" s="6">
        <v>1260.0</v>
      </c>
      <c r="N324" s="6">
        <v>400.0</v>
      </c>
      <c r="O324" s="6">
        <v>600.0</v>
      </c>
      <c r="P324" s="6">
        <v>307.0</v>
      </c>
      <c r="Q324" s="6">
        <v>3.0</v>
      </c>
      <c r="R324" s="6">
        <v>11.0</v>
      </c>
      <c r="S324" s="7"/>
      <c r="T324" s="6">
        <v>18.0</v>
      </c>
      <c r="U324" s="6">
        <v>708.0</v>
      </c>
      <c r="V324" s="7"/>
      <c r="W324" s="7"/>
      <c r="X324" s="8">
        <f t="shared" si="1"/>
        <v>1.302931596</v>
      </c>
      <c r="Y324" s="9">
        <f t="shared" si="2"/>
        <v>707</v>
      </c>
      <c r="Z324" s="8">
        <f t="shared" si="3"/>
        <v>0.7575757576</v>
      </c>
      <c r="AA324" s="8">
        <f t="shared" si="4"/>
        <v>0.5814393939</v>
      </c>
      <c r="AB324" s="8">
        <f t="shared" si="5"/>
        <v>0.03409090909</v>
      </c>
      <c r="AC324" s="8">
        <f t="shared" si="6"/>
        <v>5.555555556</v>
      </c>
      <c r="AD324" s="8">
        <f t="shared" si="7"/>
        <v>4.263888889</v>
      </c>
      <c r="AE324" s="8">
        <f t="shared" si="8"/>
        <v>0.25</v>
      </c>
      <c r="AF324" s="8" t="str">
        <f t="shared" si="9"/>
        <v>#DIV/0!</v>
      </c>
      <c r="AG324" s="8" t="str">
        <f t="shared" si="10"/>
        <v>#DIV/0!</v>
      </c>
      <c r="AH324" s="8" t="str">
        <f t="shared" si="11"/>
        <v>#DIV/0!</v>
      </c>
      <c r="AI324" s="10">
        <f t="shared" si="12"/>
        <v>0.2873563218</v>
      </c>
      <c r="AJ324" s="11">
        <f t="shared" si="13"/>
        <v>0.220545977</v>
      </c>
      <c r="AK324" s="12">
        <f t="shared" si="14"/>
        <v>0.01293103448</v>
      </c>
    </row>
    <row r="325">
      <c r="A325" s="4" t="s">
        <v>377</v>
      </c>
      <c r="B325" s="4" t="s">
        <v>341</v>
      </c>
      <c r="C325" s="4" t="s">
        <v>70</v>
      </c>
      <c r="D325" s="6">
        <v>1036.0</v>
      </c>
      <c r="E325" s="6">
        <v>492.0</v>
      </c>
      <c r="F325" s="6">
        <v>246.0</v>
      </c>
      <c r="G325" s="6">
        <v>4146.0</v>
      </c>
      <c r="H325" s="6">
        <v>0.0</v>
      </c>
      <c r="I325" s="6">
        <v>67.0</v>
      </c>
      <c r="J325" s="6">
        <v>1298.0</v>
      </c>
      <c r="K325" s="6">
        <v>177.0</v>
      </c>
      <c r="L325" s="4" t="s">
        <v>50</v>
      </c>
      <c r="M325" s="6">
        <v>1260.0</v>
      </c>
      <c r="N325" s="6">
        <v>400.0</v>
      </c>
      <c r="O325" s="6">
        <v>600.0</v>
      </c>
      <c r="P325" s="6">
        <v>408.0</v>
      </c>
      <c r="Q325" s="6">
        <v>3.0</v>
      </c>
      <c r="R325" s="6">
        <v>11.0</v>
      </c>
      <c r="S325" s="7"/>
      <c r="T325" s="6">
        <v>18.0</v>
      </c>
      <c r="U325" s="6">
        <v>590.0</v>
      </c>
      <c r="V325" s="7"/>
      <c r="W325" s="7"/>
      <c r="X325" s="8">
        <f t="shared" si="1"/>
        <v>0.9803921569</v>
      </c>
      <c r="Y325" s="9">
        <f t="shared" si="2"/>
        <v>808</v>
      </c>
      <c r="Z325" s="8">
        <f t="shared" si="3"/>
        <v>0.8130081301</v>
      </c>
      <c r="AA325" s="8">
        <f t="shared" si="4"/>
        <v>0.8292682927</v>
      </c>
      <c r="AB325" s="8">
        <f t="shared" si="5"/>
        <v>0.03658536585</v>
      </c>
      <c r="AC325" s="8">
        <f t="shared" si="6"/>
        <v>5.970149254</v>
      </c>
      <c r="AD325" s="8">
        <f t="shared" si="7"/>
        <v>6.089552239</v>
      </c>
      <c r="AE325" s="8">
        <f t="shared" si="8"/>
        <v>0.2686567164</v>
      </c>
      <c r="AF325" s="8" t="str">
        <f t="shared" si="9"/>
        <v>#DIV/0!</v>
      </c>
      <c r="AG325" s="8" t="str">
        <f t="shared" si="10"/>
        <v>#DIV/0!</v>
      </c>
      <c r="AH325" s="8" t="str">
        <f t="shared" si="11"/>
        <v>#DIV/0!</v>
      </c>
      <c r="AI325" s="10">
        <f t="shared" si="12"/>
        <v>0.3081664099</v>
      </c>
      <c r="AJ325" s="11">
        <f t="shared" si="13"/>
        <v>0.3143297381</v>
      </c>
      <c r="AK325" s="12">
        <f t="shared" si="14"/>
        <v>0.01386748844</v>
      </c>
    </row>
    <row r="326">
      <c r="A326" s="4" t="s">
        <v>378</v>
      </c>
      <c r="B326" s="4" t="s">
        <v>341</v>
      </c>
      <c r="C326" s="4" t="s">
        <v>82</v>
      </c>
      <c r="D326" s="6">
        <v>1057.0</v>
      </c>
      <c r="E326" s="6">
        <v>251.0</v>
      </c>
      <c r="F326" s="6">
        <v>251.0</v>
      </c>
      <c r="G326" s="6">
        <v>1057.0</v>
      </c>
      <c r="H326" s="6">
        <v>0.0</v>
      </c>
      <c r="I326" s="6">
        <v>46.0</v>
      </c>
      <c r="J326" s="6">
        <v>661.0</v>
      </c>
      <c r="K326" s="6">
        <v>197.0</v>
      </c>
      <c r="L326" s="4" t="s">
        <v>50</v>
      </c>
      <c r="M326" s="6">
        <v>4590.0</v>
      </c>
      <c r="N326" s="6">
        <v>1200.0</v>
      </c>
      <c r="O326" s="6">
        <v>1480.0</v>
      </c>
      <c r="P326" s="6">
        <v>360.0</v>
      </c>
      <c r="Q326" s="6">
        <v>1.0</v>
      </c>
      <c r="R326" s="6">
        <v>12.0</v>
      </c>
      <c r="S326" s="7"/>
      <c r="T326" s="6">
        <v>26.0</v>
      </c>
      <c r="U326" s="6">
        <v>599.0</v>
      </c>
      <c r="V326" s="7"/>
      <c r="W326" s="7"/>
      <c r="X326" s="8">
        <f t="shared" si="1"/>
        <v>3.333333333</v>
      </c>
      <c r="Y326" s="9">
        <f t="shared" si="2"/>
        <v>1560</v>
      </c>
      <c r="Z326" s="8">
        <f t="shared" si="3"/>
        <v>4.780876494</v>
      </c>
      <c r="AA326" s="8">
        <f t="shared" si="4"/>
        <v>1.434262948</v>
      </c>
      <c r="AB326" s="8">
        <f t="shared" si="5"/>
        <v>0.1035856574</v>
      </c>
      <c r="AC326" s="8">
        <f t="shared" si="6"/>
        <v>26.08695652</v>
      </c>
      <c r="AD326" s="8">
        <f t="shared" si="7"/>
        <v>7.826086957</v>
      </c>
      <c r="AE326" s="8">
        <f t="shared" si="8"/>
        <v>0.5652173913</v>
      </c>
      <c r="AF326" s="8" t="str">
        <f t="shared" si="9"/>
        <v>#DIV/0!</v>
      </c>
      <c r="AG326" s="8" t="str">
        <f t="shared" si="10"/>
        <v>#DIV/0!</v>
      </c>
      <c r="AH326" s="8" t="str">
        <f t="shared" si="11"/>
        <v>#DIV/0!</v>
      </c>
      <c r="AI326" s="10">
        <f t="shared" si="12"/>
        <v>1.815431165</v>
      </c>
      <c r="AJ326" s="11">
        <f t="shared" si="13"/>
        <v>0.5446293495</v>
      </c>
      <c r="AK326" s="12">
        <f t="shared" si="14"/>
        <v>0.03933434191</v>
      </c>
    </row>
    <row r="327">
      <c r="A327" s="4" t="s">
        <v>379</v>
      </c>
      <c r="B327" s="4" t="s">
        <v>341</v>
      </c>
      <c r="C327" s="4" t="s">
        <v>82</v>
      </c>
      <c r="D327" s="6">
        <v>628.0</v>
      </c>
      <c r="E327" s="6">
        <v>149.0</v>
      </c>
      <c r="F327" s="6">
        <v>149.0</v>
      </c>
      <c r="G327" s="6">
        <v>628.0</v>
      </c>
      <c r="H327" s="6">
        <v>0.0</v>
      </c>
      <c r="I327" s="6">
        <v>27.0</v>
      </c>
      <c r="J327" s="6">
        <v>394.0</v>
      </c>
      <c r="K327" s="6">
        <v>207.0</v>
      </c>
      <c r="L327" s="4" t="s">
        <v>50</v>
      </c>
      <c r="M327" s="6">
        <v>4312.0</v>
      </c>
      <c r="N327" s="6">
        <v>1000.0</v>
      </c>
      <c r="O327" s="6">
        <v>1480.0</v>
      </c>
      <c r="P327" s="6">
        <v>352.0</v>
      </c>
      <c r="Q327" s="6">
        <v>2.0</v>
      </c>
      <c r="R327" s="6">
        <v>10.0</v>
      </c>
      <c r="S327" s="7"/>
      <c r="T327" s="6">
        <v>18.0</v>
      </c>
      <c r="U327" s="6">
        <v>599.0</v>
      </c>
      <c r="V327" s="7"/>
      <c r="W327" s="7"/>
      <c r="X327" s="8">
        <f t="shared" si="1"/>
        <v>2.840909091</v>
      </c>
      <c r="Y327" s="9">
        <f t="shared" si="2"/>
        <v>1352</v>
      </c>
      <c r="Z327" s="8">
        <f t="shared" si="3"/>
        <v>6.711409396</v>
      </c>
      <c r="AA327" s="8">
        <f t="shared" si="4"/>
        <v>2.362416107</v>
      </c>
      <c r="AB327" s="8">
        <f t="shared" si="5"/>
        <v>0.1208053691</v>
      </c>
      <c r="AC327" s="8">
        <f t="shared" si="6"/>
        <v>37.03703704</v>
      </c>
      <c r="AD327" s="8">
        <f t="shared" si="7"/>
        <v>13.03703704</v>
      </c>
      <c r="AE327" s="8">
        <f t="shared" si="8"/>
        <v>0.6666666667</v>
      </c>
      <c r="AF327" s="8" t="str">
        <f t="shared" si="9"/>
        <v>#DIV/0!</v>
      </c>
      <c r="AG327" s="8" t="str">
        <f t="shared" si="10"/>
        <v>#DIV/0!</v>
      </c>
      <c r="AH327" s="8" t="str">
        <f t="shared" si="11"/>
        <v>#DIV/0!</v>
      </c>
      <c r="AI327" s="10">
        <f t="shared" si="12"/>
        <v>2.538071066</v>
      </c>
      <c r="AJ327" s="11">
        <f t="shared" si="13"/>
        <v>0.8934010152</v>
      </c>
      <c r="AK327" s="12">
        <f t="shared" si="14"/>
        <v>0.04568527919</v>
      </c>
    </row>
    <row r="328">
      <c r="A328" s="4" t="s">
        <v>380</v>
      </c>
      <c r="B328" s="4" t="s">
        <v>341</v>
      </c>
      <c r="C328" s="4" t="s">
        <v>82</v>
      </c>
      <c r="D328" s="6">
        <v>901.0</v>
      </c>
      <c r="E328" s="6">
        <v>214.0</v>
      </c>
      <c r="F328" s="6">
        <v>214.0</v>
      </c>
      <c r="G328" s="6">
        <v>901.0</v>
      </c>
      <c r="H328" s="6">
        <v>0.0</v>
      </c>
      <c r="I328" s="6">
        <v>39.0</v>
      </c>
      <c r="J328" s="6">
        <v>564.0</v>
      </c>
      <c r="K328" s="6">
        <v>231.0</v>
      </c>
      <c r="L328" s="4" t="s">
        <v>50</v>
      </c>
      <c r="M328" s="6">
        <v>4802.0</v>
      </c>
      <c r="N328" s="6">
        <v>1000.0</v>
      </c>
      <c r="O328" s="6">
        <v>1480.0</v>
      </c>
      <c r="P328" s="6">
        <v>392.0</v>
      </c>
      <c r="Q328" s="6">
        <v>2.0</v>
      </c>
      <c r="R328" s="6">
        <v>9.0</v>
      </c>
      <c r="S328" s="7"/>
      <c r="T328" s="6">
        <v>18.0</v>
      </c>
      <c r="U328" s="6">
        <v>599.0</v>
      </c>
      <c r="V328" s="7"/>
      <c r="W328" s="7"/>
      <c r="X328" s="8">
        <f t="shared" si="1"/>
        <v>2.551020408</v>
      </c>
      <c r="Y328" s="9">
        <f t="shared" si="2"/>
        <v>1392</v>
      </c>
      <c r="Z328" s="8">
        <f t="shared" si="3"/>
        <v>4.672897196</v>
      </c>
      <c r="AA328" s="8">
        <f t="shared" si="4"/>
        <v>1.831775701</v>
      </c>
      <c r="AB328" s="8">
        <f t="shared" si="5"/>
        <v>0.08411214953</v>
      </c>
      <c r="AC328" s="8">
        <f t="shared" si="6"/>
        <v>25.64102564</v>
      </c>
      <c r="AD328" s="8">
        <f t="shared" si="7"/>
        <v>10.05128205</v>
      </c>
      <c r="AE328" s="8">
        <f t="shared" si="8"/>
        <v>0.4615384615</v>
      </c>
      <c r="AF328" s="8" t="str">
        <f t="shared" si="9"/>
        <v>#DIV/0!</v>
      </c>
      <c r="AG328" s="8" t="str">
        <f t="shared" si="10"/>
        <v>#DIV/0!</v>
      </c>
      <c r="AH328" s="8" t="str">
        <f t="shared" si="11"/>
        <v>#DIV/0!</v>
      </c>
      <c r="AI328" s="10">
        <f t="shared" si="12"/>
        <v>1.773049645</v>
      </c>
      <c r="AJ328" s="11">
        <f t="shared" si="13"/>
        <v>0.695035461</v>
      </c>
      <c r="AK328" s="12">
        <f t="shared" si="14"/>
        <v>0.03191489362</v>
      </c>
    </row>
    <row r="329">
      <c r="A329" s="4" t="s">
        <v>381</v>
      </c>
      <c r="B329" s="4" t="s">
        <v>341</v>
      </c>
      <c r="C329" s="4" t="s">
        <v>73</v>
      </c>
      <c r="D329" s="6">
        <v>2548.0</v>
      </c>
      <c r="E329" s="6">
        <v>607.0</v>
      </c>
      <c r="F329" s="6">
        <v>607.0</v>
      </c>
      <c r="G329" s="6">
        <v>2548.0</v>
      </c>
      <c r="H329" s="6">
        <v>4.0</v>
      </c>
      <c r="I329" s="6">
        <v>111.0</v>
      </c>
      <c r="J329" s="6">
        <v>1184.0</v>
      </c>
      <c r="K329" s="6">
        <v>233.0</v>
      </c>
      <c r="L329" s="4" t="s">
        <v>50</v>
      </c>
      <c r="M329" s="6">
        <v>2750.0</v>
      </c>
      <c r="N329" s="6">
        <v>1000.0</v>
      </c>
      <c r="O329" s="6">
        <v>1400.0</v>
      </c>
      <c r="P329" s="6">
        <v>307.0</v>
      </c>
      <c r="Q329" s="6">
        <v>3.0</v>
      </c>
      <c r="R329" s="6">
        <v>10.0</v>
      </c>
      <c r="S329" s="7"/>
      <c r="T329" s="6">
        <v>54.0</v>
      </c>
      <c r="U329" s="6">
        <v>859.0</v>
      </c>
      <c r="V329" s="7"/>
      <c r="W329" s="7"/>
      <c r="X329" s="8">
        <f t="shared" si="1"/>
        <v>3.25732899</v>
      </c>
      <c r="Y329" s="9">
        <f t="shared" si="2"/>
        <v>1307</v>
      </c>
      <c r="Z329" s="8">
        <f t="shared" si="3"/>
        <v>1.647446458</v>
      </c>
      <c r="AA329" s="8">
        <f t="shared" si="4"/>
        <v>0.5057660626</v>
      </c>
      <c r="AB329" s="8">
        <f t="shared" si="5"/>
        <v>0.08896210873</v>
      </c>
      <c r="AC329" s="8">
        <f t="shared" si="6"/>
        <v>9.009009009</v>
      </c>
      <c r="AD329" s="8">
        <f t="shared" si="7"/>
        <v>2.765765766</v>
      </c>
      <c r="AE329" s="8">
        <f t="shared" si="8"/>
        <v>0.4864864865</v>
      </c>
      <c r="AF329" s="8">
        <f t="shared" si="9"/>
        <v>250</v>
      </c>
      <c r="AG329" s="8">
        <f t="shared" si="10"/>
        <v>76.75</v>
      </c>
      <c r="AH329" s="8">
        <f t="shared" si="11"/>
        <v>13.5</v>
      </c>
      <c r="AI329" s="10">
        <f t="shared" si="12"/>
        <v>0.8445945946</v>
      </c>
      <c r="AJ329" s="11">
        <f t="shared" si="13"/>
        <v>0.2592905405</v>
      </c>
      <c r="AK329" s="12">
        <f t="shared" si="14"/>
        <v>0.04560810811</v>
      </c>
    </row>
    <row r="330">
      <c r="A330" s="4" t="s">
        <v>382</v>
      </c>
      <c r="B330" s="4" t="s">
        <v>341</v>
      </c>
      <c r="C330" s="4" t="s">
        <v>60</v>
      </c>
      <c r="D330" s="6">
        <v>1178.0</v>
      </c>
      <c r="E330" s="6">
        <v>279.0</v>
      </c>
      <c r="F330" s="6">
        <v>279.0</v>
      </c>
      <c r="G330" s="6">
        <v>1178.0</v>
      </c>
      <c r="H330" s="6">
        <v>4.0</v>
      </c>
      <c r="I330" s="6">
        <v>50.0</v>
      </c>
      <c r="J330" s="6">
        <v>718.0</v>
      </c>
      <c r="K330" s="6">
        <v>199.0</v>
      </c>
      <c r="L330" s="4" t="s">
        <v>50</v>
      </c>
      <c r="M330" s="6">
        <v>2150.0</v>
      </c>
      <c r="N330" s="6">
        <v>1200.0</v>
      </c>
      <c r="O330" s="6">
        <v>1320.0</v>
      </c>
      <c r="P330" s="6">
        <v>362.0</v>
      </c>
      <c r="Q330" s="6">
        <v>1.0</v>
      </c>
      <c r="R330" s="6">
        <v>10.0</v>
      </c>
      <c r="S330" s="7"/>
      <c r="T330" s="6">
        <v>17.0</v>
      </c>
      <c r="U330" s="6">
        <v>506.0</v>
      </c>
      <c r="V330" s="7"/>
      <c r="W330" s="7"/>
      <c r="X330" s="8">
        <f t="shared" si="1"/>
        <v>3.314917127</v>
      </c>
      <c r="Y330" s="9">
        <f t="shared" si="2"/>
        <v>1562</v>
      </c>
      <c r="Z330" s="8">
        <f t="shared" si="3"/>
        <v>4.301075269</v>
      </c>
      <c r="AA330" s="8">
        <f t="shared" si="4"/>
        <v>1.297491039</v>
      </c>
      <c r="AB330" s="8">
        <f t="shared" si="5"/>
        <v>0.06093189964</v>
      </c>
      <c r="AC330" s="8">
        <f t="shared" si="6"/>
        <v>24</v>
      </c>
      <c r="AD330" s="8">
        <f t="shared" si="7"/>
        <v>7.24</v>
      </c>
      <c r="AE330" s="8">
        <f t="shared" si="8"/>
        <v>0.34</v>
      </c>
      <c r="AF330" s="8">
        <f t="shared" si="9"/>
        <v>300</v>
      </c>
      <c r="AG330" s="8">
        <f t="shared" si="10"/>
        <v>90.5</v>
      </c>
      <c r="AH330" s="8">
        <f t="shared" si="11"/>
        <v>4.25</v>
      </c>
      <c r="AI330" s="10">
        <f t="shared" si="12"/>
        <v>1.671309192</v>
      </c>
      <c r="AJ330" s="11">
        <f t="shared" si="13"/>
        <v>0.504178273</v>
      </c>
      <c r="AK330" s="12">
        <f t="shared" si="14"/>
        <v>0.02367688022</v>
      </c>
    </row>
    <row r="331">
      <c r="A331" s="4" t="s">
        <v>383</v>
      </c>
      <c r="B331" s="4" t="s">
        <v>341</v>
      </c>
      <c r="C331" s="4" t="s">
        <v>60</v>
      </c>
      <c r="D331" s="6">
        <v>1701.0</v>
      </c>
      <c r="E331" s="6">
        <v>403.0</v>
      </c>
      <c r="F331" s="6">
        <v>403.0</v>
      </c>
      <c r="G331" s="6">
        <v>1701.0</v>
      </c>
      <c r="H331" s="6">
        <v>4.0</v>
      </c>
      <c r="I331" s="6">
        <v>72.0</v>
      </c>
      <c r="J331" s="6">
        <v>1035.0</v>
      </c>
      <c r="K331" s="6">
        <v>209.0</v>
      </c>
      <c r="L331" s="4" t="s">
        <v>50</v>
      </c>
      <c r="M331" s="6">
        <v>1650.0</v>
      </c>
      <c r="N331" s="6">
        <v>1200.0</v>
      </c>
      <c r="O331" s="6">
        <v>1320.0</v>
      </c>
      <c r="P331" s="6">
        <v>362.0</v>
      </c>
      <c r="Q331" s="6">
        <v>1.0</v>
      </c>
      <c r="R331" s="6">
        <v>10.0</v>
      </c>
      <c r="S331" s="7"/>
      <c r="T331" s="6">
        <v>17.0</v>
      </c>
      <c r="U331" s="6">
        <v>607.0</v>
      </c>
      <c r="V331" s="7"/>
      <c r="W331" s="7"/>
      <c r="X331" s="8">
        <f t="shared" si="1"/>
        <v>3.314917127</v>
      </c>
      <c r="Y331" s="9">
        <f t="shared" si="2"/>
        <v>1562</v>
      </c>
      <c r="Z331" s="8">
        <f t="shared" si="3"/>
        <v>2.977667494</v>
      </c>
      <c r="AA331" s="8">
        <f t="shared" si="4"/>
        <v>0.8982630273</v>
      </c>
      <c r="AB331" s="8">
        <f t="shared" si="5"/>
        <v>0.04218362283</v>
      </c>
      <c r="AC331" s="8">
        <f t="shared" si="6"/>
        <v>16.66666667</v>
      </c>
      <c r="AD331" s="8">
        <f t="shared" si="7"/>
        <v>5.027777778</v>
      </c>
      <c r="AE331" s="8">
        <f t="shared" si="8"/>
        <v>0.2361111111</v>
      </c>
      <c r="AF331" s="8">
        <f t="shared" si="9"/>
        <v>300</v>
      </c>
      <c r="AG331" s="8">
        <f t="shared" si="10"/>
        <v>90.5</v>
      </c>
      <c r="AH331" s="8">
        <f t="shared" si="11"/>
        <v>4.25</v>
      </c>
      <c r="AI331" s="10">
        <f t="shared" si="12"/>
        <v>1.15942029</v>
      </c>
      <c r="AJ331" s="11">
        <f t="shared" si="13"/>
        <v>0.3497584541</v>
      </c>
      <c r="AK331" s="12">
        <f t="shared" si="14"/>
        <v>0.01642512077</v>
      </c>
    </row>
    <row r="332">
      <c r="A332" s="4" t="s">
        <v>384</v>
      </c>
      <c r="B332" s="4" t="s">
        <v>341</v>
      </c>
      <c r="C332" s="4" t="s">
        <v>168</v>
      </c>
      <c r="D332" s="6">
        <v>340.0</v>
      </c>
      <c r="E332" s="6">
        <v>161.0</v>
      </c>
      <c r="F332" s="6">
        <v>322.0</v>
      </c>
      <c r="G332" s="6">
        <v>340.0</v>
      </c>
      <c r="H332" s="6">
        <v>0.0</v>
      </c>
      <c r="I332" s="6">
        <v>44.0</v>
      </c>
      <c r="J332" s="6">
        <v>425.0</v>
      </c>
      <c r="K332" s="6">
        <v>203.0</v>
      </c>
      <c r="L332" s="4" t="s">
        <v>97</v>
      </c>
      <c r="M332" s="6">
        <v>1710.0</v>
      </c>
      <c r="N332" s="6">
        <v>1600.0</v>
      </c>
      <c r="O332" s="6">
        <v>1870.0</v>
      </c>
      <c r="P332" s="6">
        <v>412.0</v>
      </c>
      <c r="Q332" s="6">
        <v>3.0</v>
      </c>
      <c r="R332" s="6">
        <v>13.0</v>
      </c>
      <c r="S332" s="7"/>
      <c r="T332" s="6">
        <v>16.0</v>
      </c>
      <c r="U332" s="6">
        <v>449.0</v>
      </c>
      <c r="V332" s="7"/>
      <c r="W332" s="7"/>
      <c r="X332" s="8">
        <f t="shared" si="1"/>
        <v>3.883495146</v>
      </c>
      <c r="Y332" s="9">
        <f t="shared" si="2"/>
        <v>2012</v>
      </c>
      <c r="Z332" s="8">
        <f t="shared" si="3"/>
        <v>9.937888199</v>
      </c>
      <c r="AA332" s="8">
        <f t="shared" si="4"/>
        <v>2.559006211</v>
      </c>
      <c r="AB332" s="8">
        <f t="shared" si="5"/>
        <v>0.09937888199</v>
      </c>
      <c r="AC332" s="8">
        <f t="shared" si="6"/>
        <v>36.36363636</v>
      </c>
      <c r="AD332" s="8">
        <f t="shared" si="7"/>
        <v>9.363636364</v>
      </c>
      <c r="AE332" s="8">
        <f t="shared" si="8"/>
        <v>0.3636363636</v>
      </c>
      <c r="AF332" s="8" t="str">
        <f t="shared" si="9"/>
        <v>#DIV/0!</v>
      </c>
      <c r="AG332" s="8" t="str">
        <f t="shared" si="10"/>
        <v>#DIV/0!</v>
      </c>
      <c r="AH332" s="8" t="str">
        <f t="shared" si="11"/>
        <v>#DIV/0!</v>
      </c>
      <c r="AI332" s="10">
        <f t="shared" si="12"/>
        <v>3.764705882</v>
      </c>
      <c r="AJ332" s="11">
        <f t="shared" si="13"/>
        <v>0.9694117647</v>
      </c>
      <c r="AK332" s="12">
        <f t="shared" si="14"/>
        <v>0.03764705882</v>
      </c>
    </row>
    <row r="333">
      <c r="A333" s="4" t="s">
        <v>385</v>
      </c>
      <c r="B333" s="4" t="s">
        <v>341</v>
      </c>
      <c r="C333" s="4" t="s">
        <v>73</v>
      </c>
      <c r="D333" s="6">
        <v>1192.0</v>
      </c>
      <c r="E333" s="6">
        <v>283.0</v>
      </c>
      <c r="F333" s="6">
        <v>283.0</v>
      </c>
      <c r="G333" s="6">
        <v>1192.0</v>
      </c>
      <c r="H333" s="6">
        <v>5.0</v>
      </c>
      <c r="I333" s="6">
        <v>52.0</v>
      </c>
      <c r="J333" s="6">
        <v>554.0</v>
      </c>
      <c r="K333" s="6">
        <v>181.0</v>
      </c>
      <c r="L333" s="4" t="s">
        <v>50</v>
      </c>
      <c r="M333" s="6">
        <v>1365.0</v>
      </c>
      <c r="N333" s="6">
        <v>600.0</v>
      </c>
      <c r="O333" s="6">
        <v>770.0</v>
      </c>
      <c r="P333" s="6">
        <v>308.0</v>
      </c>
      <c r="Q333" s="6">
        <v>4.0</v>
      </c>
      <c r="R333" s="6">
        <v>14.0</v>
      </c>
      <c r="S333" s="7"/>
      <c r="T333" s="6">
        <v>40.0</v>
      </c>
      <c r="U333" s="6">
        <v>618.0</v>
      </c>
      <c r="V333" s="7"/>
      <c r="W333" s="7"/>
      <c r="X333" s="8">
        <f t="shared" si="1"/>
        <v>1.948051948</v>
      </c>
      <c r="Y333" s="9">
        <f t="shared" si="2"/>
        <v>908</v>
      </c>
      <c r="Z333" s="8">
        <f t="shared" si="3"/>
        <v>2.120141343</v>
      </c>
      <c r="AA333" s="8">
        <f t="shared" si="4"/>
        <v>1.088339223</v>
      </c>
      <c r="AB333" s="8">
        <f t="shared" si="5"/>
        <v>0.1413427562</v>
      </c>
      <c r="AC333" s="8">
        <f t="shared" si="6"/>
        <v>11.53846154</v>
      </c>
      <c r="AD333" s="8">
        <f t="shared" si="7"/>
        <v>5.923076923</v>
      </c>
      <c r="AE333" s="8">
        <f t="shared" si="8"/>
        <v>0.7692307692</v>
      </c>
      <c r="AF333" s="8">
        <f t="shared" si="9"/>
        <v>120</v>
      </c>
      <c r="AG333" s="8">
        <f t="shared" si="10"/>
        <v>61.6</v>
      </c>
      <c r="AH333" s="8">
        <f t="shared" si="11"/>
        <v>8</v>
      </c>
      <c r="AI333" s="10">
        <f t="shared" si="12"/>
        <v>1.083032491</v>
      </c>
      <c r="AJ333" s="11">
        <f t="shared" si="13"/>
        <v>0.5559566787</v>
      </c>
      <c r="AK333" s="12">
        <f t="shared" si="14"/>
        <v>0.07220216606</v>
      </c>
    </row>
    <row r="334">
      <c r="A334" s="4" t="s">
        <v>386</v>
      </c>
      <c r="B334" s="4" t="s">
        <v>341</v>
      </c>
      <c r="C334" s="4" t="s">
        <v>92</v>
      </c>
      <c r="D334" s="6">
        <v>1134.0</v>
      </c>
      <c r="E334" s="6">
        <v>269.0</v>
      </c>
      <c r="F334" s="6">
        <v>269.0</v>
      </c>
      <c r="G334" s="6">
        <v>1134.0</v>
      </c>
      <c r="H334" s="6">
        <v>8.0</v>
      </c>
      <c r="I334" s="6">
        <v>49.0</v>
      </c>
      <c r="J334" s="6">
        <v>710.0</v>
      </c>
      <c r="K334" s="6">
        <v>180.0</v>
      </c>
      <c r="L334" s="4" t="s">
        <v>97</v>
      </c>
      <c r="M334" s="6">
        <v>1545.0</v>
      </c>
      <c r="N334" s="6">
        <v>400.0</v>
      </c>
      <c r="O334" s="6">
        <v>600.0</v>
      </c>
      <c r="P334" s="6">
        <v>306.0</v>
      </c>
      <c r="Q334" s="6">
        <v>1.0</v>
      </c>
      <c r="R334" s="6">
        <v>10.0</v>
      </c>
      <c r="S334" s="7"/>
      <c r="T334" s="6">
        <v>22.0</v>
      </c>
      <c r="U334" s="6">
        <v>618.0</v>
      </c>
      <c r="V334" s="7"/>
      <c r="W334" s="7"/>
      <c r="X334" s="8">
        <f t="shared" si="1"/>
        <v>1.307189542</v>
      </c>
      <c r="Y334" s="9">
        <f t="shared" si="2"/>
        <v>706</v>
      </c>
      <c r="Z334" s="8">
        <f t="shared" si="3"/>
        <v>1.486988848</v>
      </c>
      <c r="AA334" s="8">
        <f t="shared" si="4"/>
        <v>1.137546468</v>
      </c>
      <c r="AB334" s="8">
        <f t="shared" si="5"/>
        <v>0.08178438662</v>
      </c>
      <c r="AC334" s="8">
        <f t="shared" si="6"/>
        <v>8.163265306</v>
      </c>
      <c r="AD334" s="8">
        <f t="shared" si="7"/>
        <v>6.244897959</v>
      </c>
      <c r="AE334" s="8">
        <f t="shared" si="8"/>
        <v>0.4489795918</v>
      </c>
      <c r="AF334" s="8">
        <f t="shared" si="9"/>
        <v>50</v>
      </c>
      <c r="AG334" s="8">
        <f t="shared" si="10"/>
        <v>38.25</v>
      </c>
      <c r="AH334" s="8">
        <f t="shared" si="11"/>
        <v>2.75</v>
      </c>
      <c r="AI334" s="10">
        <f t="shared" si="12"/>
        <v>0.5633802817</v>
      </c>
      <c r="AJ334" s="11">
        <f t="shared" si="13"/>
        <v>0.4309859155</v>
      </c>
      <c r="AK334" s="12">
        <f t="shared" si="14"/>
        <v>0.03098591549</v>
      </c>
    </row>
    <row r="335">
      <c r="A335" s="4" t="s">
        <v>387</v>
      </c>
      <c r="B335" s="4" t="s">
        <v>341</v>
      </c>
      <c r="C335" s="4" t="s">
        <v>92</v>
      </c>
      <c r="D335" s="6">
        <v>1377.0</v>
      </c>
      <c r="E335" s="6">
        <v>327.0</v>
      </c>
      <c r="F335" s="6">
        <v>327.0</v>
      </c>
      <c r="G335" s="6">
        <v>1377.0</v>
      </c>
      <c r="H335" s="6">
        <v>8.0</v>
      </c>
      <c r="I335" s="6">
        <v>60.0</v>
      </c>
      <c r="J335" s="6">
        <v>862.0</v>
      </c>
      <c r="K335" s="6">
        <v>189.0</v>
      </c>
      <c r="L335" s="4" t="s">
        <v>97</v>
      </c>
      <c r="M335" s="6">
        <v>1245.0</v>
      </c>
      <c r="N335" s="6">
        <v>400.0</v>
      </c>
      <c r="O335" s="6">
        <v>600.0</v>
      </c>
      <c r="P335" s="6">
        <v>306.0</v>
      </c>
      <c r="Q335" s="6">
        <v>1.0</v>
      </c>
      <c r="R335" s="6">
        <v>10.0</v>
      </c>
      <c r="S335" s="7"/>
      <c r="T335" s="6">
        <v>22.0</v>
      </c>
      <c r="U335" s="6">
        <v>742.0</v>
      </c>
      <c r="V335" s="7"/>
      <c r="W335" s="7"/>
      <c r="X335" s="8">
        <f t="shared" si="1"/>
        <v>1.307189542</v>
      </c>
      <c r="Y335" s="9">
        <f t="shared" si="2"/>
        <v>706</v>
      </c>
      <c r="Z335" s="8">
        <f t="shared" si="3"/>
        <v>1.22324159</v>
      </c>
      <c r="AA335" s="8">
        <f t="shared" si="4"/>
        <v>0.9357798165</v>
      </c>
      <c r="AB335" s="8">
        <f t="shared" si="5"/>
        <v>0.06727828746</v>
      </c>
      <c r="AC335" s="8">
        <f t="shared" si="6"/>
        <v>6.666666667</v>
      </c>
      <c r="AD335" s="8">
        <f t="shared" si="7"/>
        <v>5.1</v>
      </c>
      <c r="AE335" s="8">
        <f t="shared" si="8"/>
        <v>0.3666666667</v>
      </c>
      <c r="AF335" s="8">
        <f t="shared" si="9"/>
        <v>50</v>
      </c>
      <c r="AG335" s="8">
        <f t="shared" si="10"/>
        <v>38.25</v>
      </c>
      <c r="AH335" s="8">
        <f t="shared" si="11"/>
        <v>2.75</v>
      </c>
      <c r="AI335" s="10">
        <f t="shared" si="12"/>
        <v>0.464037123</v>
      </c>
      <c r="AJ335" s="11">
        <f t="shared" si="13"/>
        <v>0.3549883991</v>
      </c>
      <c r="AK335" s="12">
        <f t="shared" si="14"/>
        <v>0.02552204176</v>
      </c>
    </row>
    <row r="336">
      <c r="A336" s="4" t="s">
        <v>388</v>
      </c>
      <c r="B336" s="4" t="s">
        <v>341</v>
      </c>
      <c r="C336" s="4" t="s">
        <v>49</v>
      </c>
      <c r="D336" s="6">
        <v>1461.0</v>
      </c>
      <c r="E336" s="6">
        <v>347.0</v>
      </c>
      <c r="F336" s="6">
        <v>347.0</v>
      </c>
      <c r="G336" s="6">
        <v>1461.0</v>
      </c>
      <c r="H336" s="6">
        <v>4.0</v>
      </c>
      <c r="I336" s="6">
        <v>63.0</v>
      </c>
      <c r="J336" s="6">
        <v>915.0</v>
      </c>
      <c r="K336" s="6">
        <v>171.0</v>
      </c>
      <c r="L336" s="4" t="s">
        <v>50</v>
      </c>
      <c r="M336" s="6">
        <v>1230.0</v>
      </c>
      <c r="N336" s="6">
        <v>800.0</v>
      </c>
      <c r="O336" s="6">
        <v>750.0</v>
      </c>
      <c r="P336" s="6">
        <v>306.0</v>
      </c>
      <c r="Q336" s="6">
        <v>3.0</v>
      </c>
      <c r="R336" s="6">
        <v>14.0</v>
      </c>
      <c r="S336" s="7"/>
      <c r="T336" s="6">
        <v>38.0</v>
      </c>
      <c r="U336" s="6">
        <v>674.0</v>
      </c>
      <c r="V336" s="7"/>
      <c r="W336" s="7"/>
      <c r="X336" s="8">
        <f t="shared" si="1"/>
        <v>2.614379085</v>
      </c>
      <c r="Y336" s="9">
        <f t="shared" si="2"/>
        <v>1106</v>
      </c>
      <c r="Z336" s="8">
        <f t="shared" si="3"/>
        <v>2.305475504</v>
      </c>
      <c r="AA336" s="8">
        <f t="shared" si="4"/>
        <v>0.8818443804</v>
      </c>
      <c r="AB336" s="8">
        <f t="shared" si="5"/>
        <v>0.1095100865</v>
      </c>
      <c r="AC336" s="8">
        <f t="shared" si="6"/>
        <v>12.6984127</v>
      </c>
      <c r="AD336" s="8">
        <f t="shared" si="7"/>
        <v>4.857142857</v>
      </c>
      <c r="AE336" s="8">
        <f t="shared" si="8"/>
        <v>0.6031746032</v>
      </c>
      <c r="AF336" s="8">
        <f t="shared" si="9"/>
        <v>200</v>
      </c>
      <c r="AG336" s="8">
        <f t="shared" si="10"/>
        <v>76.5</v>
      </c>
      <c r="AH336" s="8">
        <f t="shared" si="11"/>
        <v>9.5</v>
      </c>
      <c r="AI336" s="10">
        <f t="shared" si="12"/>
        <v>0.8743169399</v>
      </c>
      <c r="AJ336" s="11">
        <f t="shared" si="13"/>
        <v>0.3344262295</v>
      </c>
      <c r="AK336" s="12">
        <f t="shared" si="14"/>
        <v>0.04153005464</v>
      </c>
    </row>
    <row r="337">
      <c r="A337" s="4" t="s">
        <v>389</v>
      </c>
      <c r="B337" s="4" t="s">
        <v>341</v>
      </c>
      <c r="C337" s="4" t="s">
        <v>49</v>
      </c>
      <c r="D337" s="6">
        <v>2010.0</v>
      </c>
      <c r="E337" s="6">
        <v>477.0</v>
      </c>
      <c r="F337" s="6">
        <v>477.0</v>
      </c>
      <c r="G337" s="6">
        <v>2010.0</v>
      </c>
      <c r="H337" s="6">
        <v>7.0</v>
      </c>
      <c r="I337" s="6">
        <v>87.0</v>
      </c>
      <c r="J337" s="6">
        <v>1258.0</v>
      </c>
      <c r="K337" s="6">
        <v>213.0</v>
      </c>
      <c r="L337" s="4" t="s">
        <v>97</v>
      </c>
      <c r="M337" s="6">
        <v>1665.0</v>
      </c>
      <c r="N337" s="6">
        <v>1600.0</v>
      </c>
      <c r="O337" s="6">
        <v>1770.0</v>
      </c>
      <c r="P337" s="6">
        <v>362.0</v>
      </c>
      <c r="Q337" s="6">
        <v>3.0</v>
      </c>
      <c r="R337" s="6">
        <v>12.0</v>
      </c>
      <c r="S337" s="7"/>
      <c r="T337" s="6">
        <v>32.0</v>
      </c>
      <c r="U337" s="6">
        <v>449.0</v>
      </c>
      <c r="V337" s="7"/>
      <c r="W337" s="7"/>
      <c r="X337" s="8">
        <f t="shared" si="1"/>
        <v>4.419889503</v>
      </c>
      <c r="Y337" s="9">
        <f t="shared" si="2"/>
        <v>1962</v>
      </c>
      <c r="Z337" s="8">
        <f t="shared" si="3"/>
        <v>3.354297694</v>
      </c>
      <c r="AA337" s="8">
        <f t="shared" si="4"/>
        <v>0.7589098532</v>
      </c>
      <c r="AB337" s="8">
        <f t="shared" si="5"/>
        <v>0.06708595388</v>
      </c>
      <c r="AC337" s="8">
        <f t="shared" si="6"/>
        <v>18.3908046</v>
      </c>
      <c r="AD337" s="8">
        <f t="shared" si="7"/>
        <v>4.16091954</v>
      </c>
      <c r="AE337" s="8">
        <f t="shared" si="8"/>
        <v>0.367816092</v>
      </c>
      <c r="AF337" s="8">
        <f t="shared" si="9"/>
        <v>228.5714286</v>
      </c>
      <c r="AG337" s="8">
        <f t="shared" si="10"/>
        <v>51.71428571</v>
      </c>
      <c r="AH337" s="8">
        <f t="shared" si="11"/>
        <v>4.571428571</v>
      </c>
      <c r="AI337" s="10">
        <f t="shared" si="12"/>
        <v>1.271860095</v>
      </c>
      <c r="AJ337" s="11">
        <f t="shared" si="13"/>
        <v>0.2877583466</v>
      </c>
      <c r="AK337" s="12">
        <f t="shared" si="14"/>
        <v>0.02543720191</v>
      </c>
    </row>
    <row r="338">
      <c r="A338" s="4" t="s">
        <v>390</v>
      </c>
      <c r="B338" s="4" t="s">
        <v>341</v>
      </c>
      <c r="C338" s="4" t="s">
        <v>73</v>
      </c>
      <c r="D338" s="6">
        <v>1112.0</v>
      </c>
      <c r="E338" s="6">
        <v>264.0</v>
      </c>
      <c r="F338" s="6">
        <v>264.0</v>
      </c>
      <c r="G338" s="6">
        <v>1112.0</v>
      </c>
      <c r="H338" s="6">
        <v>4.0</v>
      </c>
      <c r="I338" s="6">
        <v>48.0</v>
      </c>
      <c r="J338" s="6">
        <v>517.0</v>
      </c>
      <c r="K338" s="6">
        <v>175.0</v>
      </c>
      <c r="L338" s="4" t="s">
        <v>97</v>
      </c>
      <c r="M338" s="6">
        <v>1200.0</v>
      </c>
      <c r="N338" s="6">
        <v>600.0</v>
      </c>
      <c r="O338" s="6">
        <v>500.0</v>
      </c>
      <c r="P338" s="6">
        <v>306.0</v>
      </c>
      <c r="Q338" s="6">
        <v>1.0</v>
      </c>
      <c r="R338" s="6">
        <v>14.0</v>
      </c>
      <c r="S338" s="7"/>
      <c r="T338" s="6">
        <v>40.0</v>
      </c>
      <c r="U338" s="6">
        <v>646.0</v>
      </c>
      <c r="V338" s="7"/>
      <c r="W338" s="7"/>
      <c r="X338" s="8">
        <f t="shared" si="1"/>
        <v>1.960784314</v>
      </c>
      <c r="Y338" s="9">
        <f t="shared" si="2"/>
        <v>906</v>
      </c>
      <c r="Z338" s="8">
        <f t="shared" si="3"/>
        <v>2.272727273</v>
      </c>
      <c r="AA338" s="8">
        <f t="shared" si="4"/>
        <v>1.159090909</v>
      </c>
      <c r="AB338" s="8">
        <f t="shared" si="5"/>
        <v>0.1515151515</v>
      </c>
      <c r="AC338" s="8">
        <f t="shared" si="6"/>
        <v>12.5</v>
      </c>
      <c r="AD338" s="8">
        <f t="shared" si="7"/>
        <v>6.375</v>
      </c>
      <c r="AE338" s="8">
        <f t="shared" si="8"/>
        <v>0.8333333333</v>
      </c>
      <c r="AF338" s="8">
        <f t="shared" si="9"/>
        <v>150</v>
      </c>
      <c r="AG338" s="8">
        <f t="shared" si="10"/>
        <v>76.5</v>
      </c>
      <c r="AH338" s="8">
        <f t="shared" si="11"/>
        <v>10</v>
      </c>
      <c r="AI338" s="10">
        <f t="shared" si="12"/>
        <v>1.160541586</v>
      </c>
      <c r="AJ338" s="11">
        <f t="shared" si="13"/>
        <v>0.5918762089</v>
      </c>
      <c r="AK338" s="12">
        <f t="shared" si="14"/>
        <v>0.07736943907</v>
      </c>
    </row>
    <row r="339">
      <c r="A339" s="4" t="s">
        <v>391</v>
      </c>
      <c r="B339" s="4" t="s">
        <v>341</v>
      </c>
      <c r="C339" s="4" t="s">
        <v>73</v>
      </c>
      <c r="D339" s="6">
        <v>1156.0</v>
      </c>
      <c r="E339" s="6">
        <v>274.0</v>
      </c>
      <c r="F339" s="6">
        <v>274.0</v>
      </c>
      <c r="G339" s="6">
        <v>1156.0</v>
      </c>
      <c r="H339" s="6">
        <v>4.0</v>
      </c>
      <c r="I339" s="6">
        <v>50.0</v>
      </c>
      <c r="J339" s="6">
        <v>537.0</v>
      </c>
      <c r="K339" s="6">
        <v>162.0</v>
      </c>
      <c r="L339" s="4" t="s">
        <v>50</v>
      </c>
      <c r="M339" s="6">
        <v>1290.0</v>
      </c>
      <c r="N339" s="6">
        <v>800.0</v>
      </c>
      <c r="O339" s="6">
        <v>800.0</v>
      </c>
      <c r="P339" s="6">
        <v>307.0</v>
      </c>
      <c r="Q339" s="6">
        <v>2.0</v>
      </c>
      <c r="R339" s="6">
        <v>16.0</v>
      </c>
      <c r="S339" s="7"/>
      <c r="T339" s="6">
        <v>45.0</v>
      </c>
      <c r="U339" s="6">
        <v>703.0</v>
      </c>
      <c r="V339" s="7"/>
      <c r="W339" s="7"/>
      <c r="X339" s="8">
        <f t="shared" si="1"/>
        <v>2.605863192</v>
      </c>
      <c r="Y339" s="9">
        <f t="shared" si="2"/>
        <v>1107</v>
      </c>
      <c r="Z339" s="8">
        <f t="shared" si="3"/>
        <v>2.919708029</v>
      </c>
      <c r="AA339" s="8">
        <f t="shared" si="4"/>
        <v>1.120437956</v>
      </c>
      <c r="AB339" s="8">
        <f t="shared" si="5"/>
        <v>0.1642335766</v>
      </c>
      <c r="AC339" s="8">
        <f t="shared" si="6"/>
        <v>16</v>
      </c>
      <c r="AD339" s="8">
        <f t="shared" si="7"/>
        <v>6.14</v>
      </c>
      <c r="AE339" s="8">
        <f t="shared" si="8"/>
        <v>0.9</v>
      </c>
      <c r="AF339" s="8">
        <f t="shared" si="9"/>
        <v>200</v>
      </c>
      <c r="AG339" s="8">
        <f t="shared" si="10"/>
        <v>76.75</v>
      </c>
      <c r="AH339" s="8">
        <f t="shared" si="11"/>
        <v>11.25</v>
      </c>
      <c r="AI339" s="10">
        <f t="shared" si="12"/>
        <v>1.489757914</v>
      </c>
      <c r="AJ339" s="11">
        <f t="shared" si="13"/>
        <v>0.5716945996</v>
      </c>
      <c r="AK339" s="12">
        <f t="shared" si="14"/>
        <v>0.08379888268</v>
      </c>
    </row>
    <row r="340">
      <c r="A340" s="4" t="s">
        <v>392</v>
      </c>
      <c r="B340" s="4" t="s">
        <v>341</v>
      </c>
      <c r="C340" s="4" t="s">
        <v>139</v>
      </c>
      <c r="D340" s="6">
        <v>1207.0</v>
      </c>
      <c r="E340" s="6">
        <v>287.0</v>
      </c>
      <c r="F340" s="6">
        <v>287.0</v>
      </c>
      <c r="G340" s="6">
        <v>1207.0</v>
      </c>
      <c r="H340" s="6">
        <v>4.0</v>
      </c>
      <c r="I340" s="6">
        <v>52.0</v>
      </c>
      <c r="J340" s="6">
        <v>560.0</v>
      </c>
      <c r="K340" s="6">
        <v>162.0</v>
      </c>
      <c r="L340" s="4" t="s">
        <v>50</v>
      </c>
      <c r="M340" s="6">
        <v>2790.0</v>
      </c>
      <c r="N340" s="6">
        <v>400.0</v>
      </c>
      <c r="O340" s="6">
        <v>600.0</v>
      </c>
      <c r="P340" s="6">
        <v>308.0</v>
      </c>
      <c r="Q340" s="6">
        <v>3.0</v>
      </c>
      <c r="R340" s="6">
        <v>14.0</v>
      </c>
      <c r="S340" s="7"/>
      <c r="T340" s="6">
        <v>24.0</v>
      </c>
      <c r="U340" s="6">
        <v>703.0</v>
      </c>
      <c r="V340" s="7"/>
      <c r="W340" s="7"/>
      <c r="X340" s="8">
        <f t="shared" si="1"/>
        <v>1.298701299</v>
      </c>
      <c r="Y340" s="9">
        <f t="shared" si="2"/>
        <v>708</v>
      </c>
      <c r="Z340" s="8">
        <f t="shared" si="3"/>
        <v>1.393728223</v>
      </c>
      <c r="AA340" s="8">
        <f t="shared" si="4"/>
        <v>1.073170732</v>
      </c>
      <c r="AB340" s="8">
        <f t="shared" si="5"/>
        <v>0.08362369338</v>
      </c>
      <c r="AC340" s="8">
        <f t="shared" si="6"/>
        <v>7.692307692</v>
      </c>
      <c r="AD340" s="8">
        <f t="shared" si="7"/>
        <v>5.923076923</v>
      </c>
      <c r="AE340" s="8">
        <f t="shared" si="8"/>
        <v>0.4615384615</v>
      </c>
      <c r="AF340" s="8">
        <f t="shared" si="9"/>
        <v>100</v>
      </c>
      <c r="AG340" s="8">
        <f t="shared" si="10"/>
        <v>77</v>
      </c>
      <c r="AH340" s="8">
        <f t="shared" si="11"/>
        <v>6</v>
      </c>
      <c r="AI340" s="10">
        <f t="shared" si="12"/>
        <v>0.7142857143</v>
      </c>
      <c r="AJ340" s="11">
        <f t="shared" si="13"/>
        <v>0.55</v>
      </c>
      <c r="AK340" s="12">
        <f t="shared" si="14"/>
        <v>0.04285714286</v>
      </c>
    </row>
    <row r="341">
      <c r="A341" s="4" t="s">
        <v>393</v>
      </c>
      <c r="B341" s="4" t="s">
        <v>341</v>
      </c>
      <c r="C341" s="4" t="s">
        <v>139</v>
      </c>
      <c r="D341" s="6">
        <v>1480.0</v>
      </c>
      <c r="E341" s="6">
        <v>351.0</v>
      </c>
      <c r="F341" s="6">
        <v>351.0</v>
      </c>
      <c r="G341" s="6">
        <v>1480.0</v>
      </c>
      <c r="H341" s="6">
        <v>4.0</v>
      </c>
      <c r="I341" s="6">
        <v>64.0</v>
      </c>
      <c r="J341" s="6">
        <v>687.0</v>
      </c>
      <c r="K341" s="6">
        <v>168.0</v>
      </c>
      <c r="L341" s="4" t="s">
        <v>50</v>
      </c>
      <c r="M341" s="6">
        <v>2790.0</v>
      </c>
      <c r="N341" s="6">
        <v>400.0</v>
      </c>
      <c r="O341" s="6">
        <v>600.0</v>
      </c>
      <c r="P341" s="6">
        <v>308.0</v>
      </c>
      <c r="Q341" s="6">
        <v>3.0</v>
      </c>
      <c r="R341" s="6">
        <v>14.0</v>
      </c>
      <c r="S341" s="7"/>
      <c r="T341" s="6">
        <v>24.0</v>
      </c>
      <c r="U341" s="6">
        <v>843.0</v>
      </c>
      <c r="V341" s="7"/>
      <c r="W341" s="7"/>
      <c r="X341" s="8">
        <f t="shared" si="1"/>
        <v>1.298701299</v>
      </c>
      <c r="Y341" s="9">
        <f t="shared" si="2"/>
        <v>708</v>
      </c>
      <c r="Z341" s="8">
        <f t="shared" si="3"/>
        <v>1.13960114</v>
      </c>
      <c r="AA341" s="8">
        <f t="shared" si="4"/>
        <v>0.8774928775</v>
      </c>
      <c r="AB341" s="8">
        <f t="shared" si="5"/>
        <v>0.06837606838</v>
      </c>
      <c r="AC341" s="8">
        <f t="shared" si="6"/>
        <v>6.25</v>
      </c>
      <c r="AD341" s="8">
        <f t="shared" si="7"/>
        <v>4.8125</v>
      </c>
      <c r="AE341" s="8">
        <f t="shared" si="8"/>
        <v>0.375</v>
      </c>
      <c r="AF341" s="8">
        <f t="shared" si="9"/>
        <v>100</v>
      </c>
      <c r="AG341" s="8">
        <f t="shared" si="10"/>
        <v>77</v>
      </c>
      <c r="AH341" s="8">
        <f t="shared" si="11"/>
        <v>6</v>
      </c>
      <c r="AI341" s="10">
        <f t="shared" si="12"/>
        <v>0.5822416303</v>
      </c>
      <c r="AJ341" s="11">
        <f t="shared" si="13"/>
        <v>0.4483260553</v>
      </c>
      <c r="AK341" s="12">
        <f t="shared" si="14"/>
        <v>0.03493449782</v>
      </c>
    </row>
    <row r="342">
      <c r="A342" s="4" t="s">
        <v>394</v>
      </c>
      <c r="B342" s="4" t="s">
        <v>341</v>
      </c>
      <c r="C342" s="4" t="s">
        <v>56</v>
      </c>
      <c r="D342" s="6">
        <v>1022.0</v>
      </c>
      <c r="E342" s="6">
        <v>242.0</v>
      </c>
      <c r="F342" s="6">
        <v>242.0</v>
      </c>
      <c r="G342" s="6">
        <v>1022.0</v>
      </c>
      <c r="H342" s="6">
        <v>4.0</v>
      </c>
      <c r="I342" s="6">
        <v>46.0</v>
      </c>
      <c r="J342" s="6">
        <v>660.0</v>
      </c>
      <c r="K342" s="6">
        <v>211.0</v>
      </c>
      <c r="L342" s="4" t="s">
        <v>50</v>
      </c>
      <c r="M342" s="6">
        <v>1080.0</v>
      </c>
      <c r="N342" s="6">
        <v>400.0</v>
      </c>
      <c r="O342" s="6">
        <v>400.0</v>
      </c>
      <c r="P342" s="6">
        <v>305.0</v>
      </c>
      <c r="Q342" s="6">
        <v>4.0</v>
      </c>
      <c r="R342" s="6">
        <v>18.0</v>
      </c>
      <c r="S342" s="7"/>
      <c r="T342" s="6">
        <v>48.0</v>
      </c>
      <c r="U342" s="6">
        <v>674.0</v>
      </c>
      <c r="V342" s="7"/>
      <c r="W342" s="7"/>
      <c r="X342" s="8">
        <f t="shared" si="1"/>
        <v>1.31147541</v>
      </c>
      <c r="Y342" s="9">
        <f t="shared" si="2"/>
        <v>705</v>
      </c>
      <c r="Z342" s="8">
        <f t="shared" si="3"/>
        <v>1.652892562</v>
      </c>
      <c r="AA342" s="8">
        <f t="shared" si="4"/>
        <v>1.260330579</v>
      </c>
      <c r="AB342" s="8">
        <f t="shared" si="5"/>
        <v>0.1983471074</v>
      </c>
      <c r="AC342" s="8">
        <f t="shared" si="6"/>
        <v>8.695652174</v>
      </c>
      <c r="AD342" s="8">
        <f t="shared" si="7"/>
        <v>6.630434783</v>
      </c>
      <c r="AE342" s="8">
        <f t="shared" si="8"/>
        <v>1.043478261</v>
      </c>
      <c r="AF342" s="8">
        <f t="shared" si="9"/>
        <v>100</v>
      </c>
      <c r="AG342" s="8">
        <f t="shared" si="10"/>
        <v>76.25</v>
      </c>
      <c r="AH342" s="8">
        <f t="shared" si="11"/>
        <v>12</v>
      </c>
      <c r="AI342" s="10">
        <f t="shared" si="12"/>
        <v>0.6060606061</v>
      </c>
      <c r="AJ342" s="11">
        <f t="shared" si="13"/>
        <v>0.4621212121</v>
      </c>
      <c r="AK342" s="12">
        <f t="shared" si="14"/>
        <v>0.07272727273</v>
      </c>
    </row>
    <row r="343">
      <c r="A343" s="4" t="s">
        <v>395</v>
      </c>
      <c r="B343" s="4" t="s">
        <v>341</v>
      </c>
      <c r="C343" s="5" t="s">
        <v>49</v>
      </c>
      <c r="D343" s="6">
        <v>1889.0</v>
      </c>
      <c r="E343" s="6">
        <v>449.0</v>
      </c>
      <c r="F343" s="6">
        <v>449.0</v>
      </c>
      <c r="G343" s="6">
        <v>1889.0</v>
      </c>
      <c r="H343" s="6">
        <v>2.0</v>
      </c>
      <c r="I343" s="6">
        <v>82.0</v>
      </c>
      <c r="J343" s="6">
        <v>1184.0</v>
      </c>
      <c r="K343" s="6">
        <v>194.0</v>
      </c>
      <c r="L343" s="4" t="s">
        <v>50</v>
      </c>
      <c r="M343" s="6">
        <v>1365.0</v>
      </c>
      <c r="N343" s="6">
        <v>1600.0</v>
      </c>
      <c r="O343" s="6">
        <v>1215.0</v>
      </c>
      <c r="P343" s="6">
        <v>308.0</v>
      </c>
      <c r="Q343" s="6">
        <v>6.0</v>
      </c>
      <c r="R343" s="6">
        <v>12.0</v>
      </c>
      <c r="S343" s="7"/>
      <c r="T343" s="6">
        <v>32.0</v>
      </c>
      <c r="U343" s="6">
        <v>478.0</v>
      </c>
      <c r="V343" s="7"/>
      <c r="W343" s="7"/>
      <c r="X343" s="8">
        <f t="shared" si="1"/>
        <v>5.194805195</v>
      </c>
      <c r="Y343" s="9">
        <f t="shared" si="2"/>
        <v>1908</v>
      </c>
      <c r="Z343" s="8">
        <f t="shared" si="3"/>
        <v>3.563474388</v>
      </c>
      <c r="AA343" s="8">
        <f t="shared" si="4"/>
        <v>0.6859688196</v>
      </c>
      <c r="AB343" s="8">
        <f t="shared" si="5"/>
        <v>0.07126948775</v>
      </c>
      <c r="AC343" s="8">
        <f t="shared" si="6"/>
        <v>19.51219512</v>
      </c>
      <c r="AD343" s="8">
        <f t="shared" si="7"/>
        <v>3.756097561</v>
      </c>
      <c r="AE343" s="8">
        <f t="shared" si="8"/>
        <v>0.3902439024</v>
      </c>
      <c r="AF343" s="8">
        <f t="shared" si="9"/>
        <v>800</v>
      </c>
      <c r="AG343" s="8">
        <f t="shared" si="10"/>
        <v>154</v>
      </c>
      <c r="AH343" s="8">
        <f t="shared" si="11"/>
        <v>16</v>
      </c>
      <c r="AI343" s="10">
        <f t="shared" si="12"/>
        <v>1.351351351</v>
      </c>
      <c r="AJ343" s="11">
        <f t="shared" si="13"/>
        <v>0.2601351351</v>
      </c>
      <c r="AK343" s="12">
        <f t="shared" si="14"/>
        <v>0.02702702703</v>
      </c>
    </row>
    <row r="344">
      <c r="A344" s="4" t="s">
        <v>396</v>
      </c>
      <c r="B344" s="4" t="s">
        <v>341</v>
      </c>
      <c r="C344" s="4" t="s">
        <v>139</v>
      </c>
      <c r="D344" s="6">
        <v>2289.0</v>
      </c>
      <c r="E344" s="6">
        <v>544.0</v>
      </c>
      <c r="F344" s="6">
        <v>544.0</v>
      </c>
      <c r="G344" s="6">
        <v>2289.0</v>
      </c>
      <c r="H344" s="6">
        <v>3.0</v>
      </c>
      <c r="I344" s="6">
        <v>100.0</v>
      </c>
      <c r="J344" s="6">
        <v>1063.0</v>
      </c>
      <c r="K344" s="6">
        <v>120.0</v>
      </c>
      <c r="L344" s="4" t="s">
        <v>50</v>
      </c>
      <c r="M344" s="6">
        <v>1080.0</v>
      </c>
      <c r="N344" s="6">
        <v>800.0</v>
      </c>
      <c r="O344" s="6">
        <v>500.0</v>
      </c>
      <c r="P344" s="6">
        <v>80.0</v>
      </c>
      <c r="Q344" s="6">
        <v>1.0</v>
      </c>
      <c r="R344" s="6">
        <v>7.0</v>
      </c>
      <c r="S344" s="7"/>
      <c r="T344" s="6">
        <v>0.0</v>
      </c>
      <c r="U344" s="6">
        <v>359.0</v>
      </c>
      <c r="V344" s="7"/>
      <c r="W344" s="7"/>
      <c r="X344" s="8">
        <f t="shared" si="1"/>
        <v>10</v>
      </c>
      <c r="Y344" s="9">
        <f t="shared" si="2"/>
        <v>880</v>
      </c>
      <c r="Z344" s="8">
        <f t="shared" si="3"/>
        <v>1.470588235</v>
      </c>
      <c r="AA344" s="8">
        <f t="shared" si="4"/>
        <v>0.1470588235</v>
      </c>
      <c r="AB344" s="8">
        <f t="shared" si="5"/>
        <v>0</v>
      </c>
      <c r="AC344" s="8">
        <f t="shared" si="6"/>
        <v>8</v>
      </c>
      <c r="AD344" s="8">
        <f t="shared" si="7"/>
        <v>0.8</v>
      </c>
      <c r="AE344" s="8">
        <f t="shared" si="8"/>
        <v>0</v>
      </c>
      <c r="AF344" s="8">
        <f t="shared" si="9"/>
        <v>266.6666667</v>
      </c>
      <c r="AG344" s="8">
        <f t="shared" si="10"/>
        <v>26.66666667</v>
      </c>
      <c r="AH344" s="8">
        <f t="shared" si="11"/>
        <v>0</v>
      </c>
      <c r="AI344" s="10">
        <f t="shared" si="12"/>
        <v>0.7525870179</v>
      </c>
      <c r="AJ344" s="11">
        <f t="shared" si="13"/>
        <v>0.07525870179</v>
      </c>
      <c r="AK344" s="12">
        <f t="shared" si="14"/>
        <v>0</v>
      </c>
    </row>
    <row r="345">
      <c r="A345" s="4" t="s">
        <v>397</v>
      </c>
      <c r="B345" s="4" t="s">
        <v>341</v>
      </c>
      <c r="C345" s="4" t="s">
        <v>49</v>
      </c>
      <c r="D345" s="6">
        <v>1888.0</v>
      </c>
      <c r="E345" s="6">
        <v>449.0</v>
      </c>
      <c r="F345" s="6">
        <v>449.0</v>
      </c>
      <c r="G345" s="6">
        <v>1888.0</v>
      </c>
      <c r="H345" s="6">
        <v>6.0</v>
      </c>
      <c r="I345" s="6">
        <v>82.0</v>
      </c>
      <c r="J345" s="6">
        <v>1184.0</v>
      </c>
      <c r="K345" s="6">
        <v>187.0</v>
      </c>
      <c r="L345" s="4" t="s">
        <v>97</v>
      </c>
      <c r="M345" s="6">
        <v>1500.0</v>
      </c>
      <c r="N345" s="6">
        <v>1600.0</v>
      </c>
      <c r="O345" s="6">
        <v>1215.0</v>
      </c>
      <c r="P345" s="6">
        <v>360.0</v>
      </c>
      <c r="Q345" s="6">
        <v>3.0</v>
      </c>
      <c r="R345" s="6">
        <v>14.0</v>
      </c>
      <c r="S345" s="7"/>
      <c r="T345" s="6">
        <v>38.0</v>
      </c>
      <c r="U345" s="6">
        <v>562.0</v>
      </c>
      <c r="V345" s="7"/>
      <c r="W345" s="7"/>
      <c r="X345" s="8">
        <f t="shared" si="1"/>
        <v>4.444444444</v>
      </c>
      <c r="Y345" s="9">
        <f t="shared" si="2"/>
        <v>1960</v>
      </c>
      <c r="Z345" s="8">
        <f t="shared" si="3"/>
        <v>3.563474388</v>
      </c>
      <c r="AA345" s="8">
        <f t="shared" si="4"/>
        <v>0.8017817372</v>
      </c>
      <c r="AB345" s="8">
        <f t="shared" si="5"/>
        <v>0.0846325167</v>
      </c>
      <c r="AC345" s="8">
        <f t="shared" si="6"/>
        <v>19.51219512</v>
      </c>
      <c r="AD345" s="8">
        <f t="shared" si="7"/>
        <v>4.390243902</v>
      </c>
      <c r="AE345" s="8">
        <f t="shared" si="8"/>
        <v>0.4634146341</v>
      </c>
      <c r="AF345" s="8">
        <f t="shared" si="9"/>
        <v>266.6666667</v>
      </c>
      <c r="AG345" s="8">
        <f t="shared" si="10"/>
        <v>60</v>
      </c>
      <c r="AH345" s="8">
        <f t="shared" si="11"/>
        <v>6.333333333</v>
      </c>
      <c r="AI345" s="10">
        <f t="shared" si="12"/>
        <v>1.351351351</v>
      </c>
      <c r="AJ345" s="11">
        <f t="shared" si="13"/>
        <v>0.3040540541</v>
      </c>
      <c r="AK345" s="12">
        <f t="shared" si="14"/>
        <v>0.03209459459</v>
      </c>
    </row>
    <row r="346">
      <c r="A346" s="4" t="s">
        <v>398</v>
      </c>
      <c r="B346" s="4" t="s">
        <v>341</v>
      </c>
      <c r="C346" s="4" t="s">
        <v>49</v>
      </c>
      <c r="D346" s="6">
        <v>915.0</v>
      </c>
      <c r="E346" s="6">
        <v>217.0</v>
      </c>
      <c r="F346" s="6">
        <v>217.0</v>
      </c>
      <c r="G346" s="6">
        <v>915.0</v>
      </c>
      <c r="H346" s="6">
        <v>4.0</v>
      </c>
      <c r="I346" s="6">
        <v>40.0</v>
      </c>
      <c r="J346" s="6">
        <v>574.0</v>
      </c>
      <c r="K346" s="6">
        <v>171.0</v>
      </c>
      <c r="L346" s="4" t="s">
        <v>97</v>
      </c>
      <c r="M346" s="6">
        <v>990.0</v>
      </c>
      <c r="N346" s="6">
        <v>600.0</v>
      </c>
      <c r="O346" s="6">
        <v>600.0</v>
      </c>
      <c r="P346" s="6">
        <v>254.0</v>
      </c>
      <c r="Q346" s="6">
        <v>2.0</v>
      </c>
      <c r="R346" s="6">
        <v>14.0</v>
      </c>
      <c r="S346" s="7"/>
      <c r="T346" s="6">
        <v>38.0</v>
      </c>
      <c r="U346" s="6">
        <v>674.0</v>
      </c>
      <c r="V346" s="7"/>
      <c r="W346" s="7"/>
      <c r="X346" s="8">
        <f t="shared" si="1"/>
        <v>2.362204724</v>
      </c>
      <c r="Y346" s="9">
        <f t="shared" si="2"/>
        <v>854</v>
      </c>
      <c r="Z346" s="8">
        <f t="shared" si="3"/>
        <v>2.764976959</v>
      </c>
      <c r="AA346" s="8">
        <f t="shared" si="4"/>
        <v>1.170506912</v>
      </c>
      <c r="AB346" s="8">
        <f t="shared" si="5"/>
        <v>0.1751152074</v>
      </c>
      <c r="AC346" s="8">
        <f t="shared" si="6"/>
        <v>15</v>
      </c>
      <c r="AD346" s="8">
        <f t="shared" si="7"/>
        <v>6.35</v>
      </c>
      <c r="AE346" s="8">
        <f t="shared" si="8"/>
        <v>0.95</v>
      </c>
      <c r="AF346" s="8">
        <f t="shared" si="9"/>
        <v>150</v>
      </c>
      <c r="AG346" s="8">
        <f t="shared" si="10"/>
        <v>63.5</v>
      </c>
      <c r="AH346" s="8">
        <f t="shared" si="11"/>
        <v>9.5</v>
      </c>
      <c r="AI346" s="10">
        <f t="shared" si="12"/>
        <v>1.045296167</v>
      </c>
      <c r="AJ346" s="11">
        <f t="shared" si="13"/>
        <v>0.4425087108</v>
      </c>
      <c r="AK346" s="12">
        <f t="shared" si="14"/>
        <v>0.06620209059</v>
      </c>
    </row>
    <row r="347">
      <c r="A347" s="4" t="s">
        <v>399</v>
      </c>
      <c r="B347" s="4" t="s">
        <v>400</v>
      </c>
      <c r="C347" s="4" t="s">
        <v>168</v>
      </c>
      <c r="D347" s="6">
        <v>29.0</v>
      </c>
      <c r="E347" s="6">
        <v>12.0</v>
      </c>
      <c r="F347" s="6">
        <v>24.0</v>
      </c>
      <c r="G347" s="6">
        <v>29.0</v>
      </c>
      <c r="H347" s="6">
        <v>0.0</v>
      </c>
      <c r="I347" s="6">
        <v>3.0</v>
      </c>
      <c r="J347" s="6">
        <v>35.0</v>
      </c>
      <c r="K347" s="6">
        <v>277.0</v>
      </c>
      <c r="L347" s="4" t="s">
        <v>97</v>
      </c>
      <c r="M347" s="6">
        <v>180.0</v>
      </c>
      <c r="N347" s="6">
        <v>100.0</v>
      </c>
      <c r="O347" s="6">
        <v>600.0</v>
      </c>
      <c r="P347" s="6">
        <v>130.0</v>
      </c>
      <c r="Q347" s="6">
        <v>1.0</v>
      </c>
      <c r="R347" s="6">
        <v>10.0</v>
      </c>
      <c r="S347" s="7"/>
      <c r="T347" s="6">
        <v>12.0</v>
      </c>
      <c r="U347" s="6">
        <v>1757.0</v>
      </c>
      <c r="V347" s="7"/>
      <c r="W347" s="7"/>
      <c r="X347" s="8">
        <f t="shared" si="1"/>
        <v>0.7692307692</v>
      </c>
      <c r="Y347" s="9">
        <f t="shared" si="2"/>
        <v>230</v>
      </c>
      <c r="Z347" s="8">
        <f t="shared" si="3"/>
        <v>8.333333333</v>
      </c>
      <c r="AA347" s="8">
        <f t="shared" si="4"/>
        <v>10.83333333</v>
      </c>
      <c r="AB347" s="8">
        <f t="shared" si="5"/>
        <v>1</v>
      </c>
      <c r="AC347" s="8">
        <f t="shared" si="6"/>
        <v>33.33333333</v>
      </c>
      <c r="AD347" s="8">
        <f t="shared" si="7"/>
        <v>43.33333333</v>
      </c>
      <c r="AE347" s="8">
        <f t="shared" si="8"/>
        <v>4</v>
      </c>
      <c r="AF347" s="8" t="str">
        <f t="shared" si="9"/>
        <v>#DIV/0!</v>
      </c>
      <c r="AG347" s="8" t="str">
        <f t="shared" si="10"/>
        <v>#DIV/0!</v>
      </c>
      <c r="AH347" s="8" t="str">
        <f t="shared" si="11"/>
        <v>#DIV/0!</v>
      </c>
      <c r="AI347" s="10">
        <f t="shared" si="12"/>
        <v>2.857142857</v>
      </c>
      <c r="AJ347" s="11">
        <f t="shared" si="13"/>
        <v>3.714285714</v>
      </c>
      <c r="AK347" s="12">
        <f t="shared" si="14"/>
        <v>0.3428571429</v>
      </c>
    </row>
    <row r="348">
      <c r="A348" s="4" t="s">
        <v>401</v>
      </c>
      <c r="B348" s="4" t="s">
        <v>400</v>
      </c>
      <c r="C348" s="4" t="s">
        <v>73</v>
      </c>
      <c r="D348" s="6">
        <v>153.0</v>
      </c>
      <c r="E348" s="6">
        <v>35.0</v>
      </c>
      <c r="F348" s="6">
        <v>35.0</v>
      </c>
      <c r="G348" s="6">
        <v>153.0</v>
      </c>
      <c r="H348" s="6">
        <v>1.0</v>
      </c>
      <c r="I348" s="6">
        <v>6.0</v>
      </c>
      <c r="J348" s="6">
        <v>71.0</v>
      </c>
      <c r="K348" s="6">
        <v>277.0</v>
      </c>
      <c r="L348" s="4" t="s">
        <v>97</v>
      </c>
      <c r="M348" s="6">
        <v>315.0</v>
      </c>
      <c r="N348" s="6">
        <v>75.0</v>
      </c>
      <c r="O348" s="6">
        <v>400.0</v>
      </c>
      <c r="P348" s="6">
        <v>73.0</v>
      </c>
      <c r="Q348" s="6">
        <v>2.0</v>
      </c>
      <c r="R348" s="6">
        <v>10.0</v>
      </c>
      <c r="S348" s="7"/>
      <c r="T348" s="6">
        <v>12.0</v>
      </c>
      <c r="U348" s="6">
        <v>1757.0</v>
      </c>
      <c r="V348" s="7"/>
      <c r="W348" s="7"/>
      <c r="X348" s="8">
        <f t="shared" si="1"/>
        <v>1.02739726</v>
      </c>
      <c r="Y348" s="9">
        <f t="shared" si="2"/>
        <v>148</v>
      </c>
      <c r="Z348" s="8">
        <f t="shared" si="3"/>
        <v>2.142857143</v>
      </c>
      <c r="AA348" s="8">
        <f t="shared" si="4"/>
        <v>2.085714286</v>
      </c>
      <c r="AB348" s="8">
        <f t="shared" si="5"/>
        <v>0.3428571429</v>
      </c>
      <c r="AC348" s="8">
        <f t="shared" si="6"/>
        <v>12.5</v>
      </c>
      <c r="AD348" s="8">
        <f t="shared" si="7"/>
        <v>12.16666667</v>
      </c>
      <c r="AE348" s="8">
        <f t="shared" si="8"/>
        <v>2</v>
      </c>
      <c r="AF348" s="8">
        <f t="shared" si="9"/>
        <v>75</v>
      </c>
      <c r="AG348" s="8">
        <f t="shared" si="10"/>
        <v>73</v>
      </c>
      <c r="AH348" s="8">
        <f t="shared" si="11"/>
        <v>12</v>
      </c>
      <c r="AI348" s="10">
        <f t="shared" si="12"/>
        <v>1.056338028</v>
      </c>
      <c r="AJ348" s="11">
        <f t="shared" si="13"/>
        <v>1.028169014</v>
      </c>
      <c r="AK348" s="12">
        <f t="shared" si="14"/>
        <v>0.1690140845</v>
      </c>
    </row>
    <row r="349">
      <c r="A349" s="4" t="s">
        <v>402</v>
      </c>
      <c r="B349" s="4" t="s">
        <v>400</v>
      </c>
      <c r="C349" s="4" t="s">
        <v>73</v>
      </c>
      <c r="D349" s="6">
        <v>167.0</v>
      </c>
      <c r="E349" s="6">
        <v>39.0</v>
      </c>
      <c r="F349" s="6">
        <v>39.0</v>
      </c>
      <c r="G349" s="6">
        <v>167.0</v>
      </c>
      <c r="H349" s="6">
        <v>1.0</v>
      </c>
      <c r="I349" s="6">
        <v>7.0</v>
      </c>
      <c r="J349" s="6">
        <v>77.0</v>
      </c>
      <c r="K349" s="6">
        <v>247.0</v>
      </c>
      <c r="L349" s="4" t="s">
        <v>97</v>
      </c>
      <c r="M349" s="6">
        <v>345.0</v>
      </c>
      <c r="N349" s="6">
        <v>125.0</v>
      </c>
      <c r="O349" s="6">
        <v>500.0</v>
      </c>
      <c r="P349" s="6">
        <v>53.0</v>
      </c>
      <c r="Q349" s="6">
        <v>1.0</v>
      </c>
      <c r="R349" s="6">
        <v>6.0</v>
      </c>
      <c r="S349" s="7"/>
      <c r="T349" s="6">
        <v>7.0</v>
      </c>
      <c r="U349" s="6">
        <v>1546.0</v>
      </c>
      <c r="V349" s="7"/>
      <c r="W349" s="7"/>
      <c r="X349" s="8">
        <f t="shared" si="1"/>
        <v>2.358490566</v>
      </c>
      <c r="Y349" s="9">
        <f t="shared" si="2"/>
        <v>178</v>
      </c>
      <c r="Z349" s="8">
        <f t="shared" si="3"/>
        <v>3.205128205</v>
      </c>
      <c r="AA349" s="8">
        <f t="shared" si="4"/>
        <v>1.358974359</v>
      </c>
      <c r="AB349" s="8">
        <f t="shared" si="5"/>
        <v>0.1794871795</v>
      </c>
      <c r="AC349" s="8">
        <f t="shared" si="6"/>
        <v>17.85714286</v>
      </c>
      <c r="AD349" s="8">
        <f t="shared" si="7"/>
        <v>7.571428571</v>
      </c>
      <c r="AE349" s="8">
        <f t="shared" si="8"/>
        <v>1</v>
      </c>
      <c r="AF349" s="8">
        <f t="shared" si="9"/>
        <v>125</v>
      </c>
      <c r="AG349" s="8">
        <f t="shared" si="10"/>
        <v>53</v>
      </c>
      <c r="AH349" s="8">
        <f t="shared" si="11"/>
        <v>7</v>
      </c>
      <c r="AI349" s="10">
        <f t="shared" si="12"/>
        <v>1.623376623</v>
      </c>
      <c r="AJ349" s="11">
        <f t="shared" si="13"/>
        <v>0.6883116883</v>
      </c>
      <c r="AK349" s="12">
        <f t="shared" si="14"/>
        <v>0.09090909091</v>
      </c>
    </row>
    <row r="350">
      <c r="A350" s="4" t="s">
        <v>403</v>
      </c>
      <c r="B350" s="4" t="s">
        <v>400</v>
      </c>
      <c r="C350" s="4" t="s">
        <v>49</v>
      </c>
      <c r="D350" s="6">
        <v>328.0</v>
      </c>
      <c r="E350" s="6">
        <v>77.0</v>
      </c>
      <c r="F350" s="6">
        <v>77.0</v>
      </c>
      <c r="G350" s="6">
        <v>328.0</v>
      </c>
      <c r="H350" s="6">
        <v>2.0</v>
      </c>
      <c r="I350" s="6">
        <v>14.0</v>
      </c>
      <c r="J350" s="6">
        <v>206.0</v>
      </c>
      <c r="K350" s="6">
        <v>236.0</v>
      </c>
      <c r="L350" s="4" t="s">
        <v>97</v>
      </c>
      <c r="M350" s="6">
        <v>375.0</v>
      </c>
      <c r="N350" s="6">
        <v>225.0</v>
      </c>
      <c r="O350" s="6">
        <v>600.0</v>
      </c>
      <c r="P350" s="6">
        <v>125.0</v>
      </c>
      <c r="Q350" s="6">
        <v>2.0</v>
      </c>
      <c r="R350" s="6">
        <v>12.0</v>
      </c>
      <c r="S350" s="7"/>
      <c r="T350" s="6">
        <v>14.0</v>
      </c>
      <c r="U350" s="6">
        <v>1828.0</v>
      </c>
      <c r="V350" s="7"/>
      <c r="W350" s="7"/>
      <c r="X350" s="8">
        <f t="shared" si="1"/>
        <v>1.8</v>
      </c>
      <c r="Y350" s="9">
        <f t="shared" si="2"/>
        <v>350</v>
      </c>
      <c r="Z350" s="8">
        <f t="shared" si="3"/>
        <v>2.922077922</v>
      </c>
      <c r="AA350" s="8">
        <f t="shared" si="4"/>
        <v>1.623376623</v>
      </c>
      <c r="AB350" s="8">
        <f t="shared" si="5"/>
        <v>0.1818181818</v>
      </c>
      <c r="AC350" s="8">
        <f t="shared" si="6"/>
        <v>16.07142857</v>
      </c>
      <c r="AD350" s="8">
        <f t="shared" si="7"/>
        <v>8.928571429</v>
      </c>
      <c r="AE350" s="8">
        <f t="shared" si="8"/>
        <v>1</v>
      </c>
      <c r="AF350" s="8">
        <f t="shared" si="9"/>
        <v>112.5</v>
      </c>
      <c r="AG350" s="8">
        <f t="shared" si="10"/>
        <v>62.5</v>
      </c>
      <c r="AH350" s="8">
        <f t="shared" si="11"/>
        <v>7</v>
      </c>
      <c r="AI350" s="10">
        <f t="shared" si="12"/>
        <v>1.09223301</v>
      </c>
      <c r="AJ350" s="11">
        <f t="shared" si="13"/>
        <v>0.6067961165</v>
      </c>
      <c r="AK350" s="12">
        <f t="shared" si="14"/>
        <v>0.06796116505</v>
      </c>
    </row>
    <row r="351">
      <c r="A351" s="4" t="s">
        <v>404</v>
      </c>
      <c r="B351" s="4" t="s">
        <v>400</v>
      </c>
      <c r="C351" s="4" t="s">
        <v>64</v>
      </c>
      <c r="D351" s="6">
        <v>109.0</v>
      </c>
      <c r="E351" s="6">
        <v>25.0</v>
      </c>
      <c r="F351" s="6">
        <v>25.0</v>
      </c>
      <c r="G351" s="6">
        <v>109.0</v>
      </c>
      <c r="H351" s="6">
        <v>1.0</v>
      </c>
      <c r="I351" s="6">
        <v>4.0</v>
      </c>
      <c r="J351" s="6">
        <v>68.0</v>
      </c>
      <c r="K351" s="6">
        <v>231.0</v>
      </c>
      <c r="L351" s="4" t="s">
        <v>97</v>
      </c>
      <c r="M351" s="6">
        <v>150.0</v>
      </c>
      <c r="N351" s="6">
        <v>100.0</v>
      </c>
      <c r="O351" s="6">
        <v>400.0</v>
      </c>
      <c r="P351" s="6">
        <v>40.0</v>
      </c>
      <c r="Q351" s="6">
        <v>0.0</v>
      </c>
      <c r="R351" s="6">
        <v>8.0</v>
      </c>
      <c r="S351" s="7"/>
      <c r="T351" s="6">
        <v>8.0</v>
      </c>
      <c r="U351" s="6">
        <v>1406.0</v>
      </c>
      <c r="V351" s="7"/>
      <c r="W351" s="7"/>
      <c r="X351" s="8">
        <f t="shared" si="1"/>
        <v>2.5</v>
      </c>
      <c r="Y351" s="9">
        <f t="shared" si="2"/>
        <v>140</v>
      </c>
      <c r="Z351" s="8">
        <f t="shared" si="3"/>
        <v>4</v>
      </c>
      <c r="AA351" s="8">
        <f t="shared" si="4"/>
        <v>1.6</v>
      </c>
      <c r="AB351" s="8">
        <f t="shared" si="5"/>
        <v>0.32</v>
      </c>
      <c r="AC351" s="8">
        <f t="shared" si="6"/>
        <v>25</v>
      </c>
      <c r="AD351" s="8">
        <f t="shared" si="7"/>
        <v>10</v>
      </c>
      <c r="AE351" s="8">
        <f t="shared" si="8"/>
        <v>2</v>
      </c>
      <c r="AF351" s="8">
        <f t="shared" si="9"/>
        <v>100</v>
      </c>
      <c r="AG351" s="8">
        <f t="shared" si="10"/>
        <v>40</v>
      </c>
      <c r="AH351" s="8">
        <f t="shared" si="11"/>
        <v>8</v>
      </c>
      <c r="AI351" s="10">
        <f t="shared" si="12"/>
        <v>1.470588235</v>
      </c>
      <c r="AJ351" s="11">
        <f t="shared" si="13"/>
        <v>0.5882352941</v>
      </c>
      <c r="AK351" s="12">
        <f t="shared" si="14"/>
        <v>0.1176470588</v>
      </c>
    </row>
    <row r="352">
      <c r="A352" s="4" t="s">
        <v>404</v>
      </c>
      <c r="B352" s="4" t="s">
        <v>400</v>
      </c>
      <c r="C352" s="4" t="s">
        <v>92</v>
      </c>
      <c r="D352" s="6">
        <v>96.0</v>
      </c>
      <c r="E352" s="6">
        <v>22.0</v>
      </c>
      <c r="F352" s="6">
        <v>22.0</v>
      </c>
      <c r="G352" s="6">
        <v>96.0</v>
      </c>
      <c r="H352" s="6">
        <v>2.0</v>
      </c>
      <c r="I352" s="6">
        <v>4.0</v>
      </c>
      <c r="J352" s="6">
        <v>59.0</v>
      </c>
      <c r="K352" s="6">
        <v>318.0</v>
      </c>
      <c r="L352" s="4" t="s">
        <v>97</v>
      </c>
      <c r="M352" s="6">
        <v>165.0</v>
      </c>
      <c r="N352" s="6">
        <v>75.0</v>
      </c>
      <c r="O352" s="6">
        <v>300.0</v>
      </c>
      <c r="P352" s="6">
        <v>40.0</v>
      </c>
      <c r="Q352" s="6">
        <v>0.0</v>
      </c>
      <c r="R352" s="6">
        <v>8.0</v>
      </c>
      <c r="S352" s="7"/>
      <c r="T352" s="6">
        <v>8.0</v>
      </c>
      <c r="U352" s="6">
        <v>1476.0</v>
      </c>
      <c r="V352" s="7"/>
      <c r="W352" s="7"/>
      <c r="X352" s="8">
        <f t="shared" si="1"/>
        <v>1.875</v>
      </c>
      <c r="Y352" s="9">
        <f t="shared" si="2"/>
        <v>115</v>
      </c>
      <c r="Z352" s="8">
        <f t="shared" si="3"/>
        <v>3.409090909</v>
      </c>
      <c r="AA352" s="8">
        <f t="shared" si="4"/>
        <v>1.818181818</v>
      </c>
      <c r="AB352" s="8">
        <f t="shared" si="5"/>
        <v>0.3636363636</v>
      </c>
      <c r="AC352" s="8">
        <f t="shared" si="6"/>
        <v>18.75</v>
      </c>
      <c r="AD352" s="8">
        <f t="shared" si="7"/>
        <v>10</v>
      </c>
      <c r="AE352" s="8">
        <f t="shared" si="8"/>
        <v>2</v>
      </c>
      <c r="AF352" s="8">
        <f t="shared" si="9"/>
        <v>37.5</v>
      </c>
      <c r="AG352" s="8">
        <f t="shared" si="10"/>
        <v>20</v>
      </c>
      <c r="AH352" s="8">
        <f t="shared" si="11"/>
        <v>4</v>
      </c>
      <c r="AI352" s="10">
        <f t="shared" si="12"/>
        <v>1.271186441</v>
      </c>
      <c r="AJ352" s="11">
        <f t="shared" si="13"/>
        <v>0.6779661017</v>
      </c>
      <c r="AK352" s="12">
        <f t="shared" si="14"/>
        <v>0.1355932203</v>
      </c>
    </row>
    <row r="353">
      <c r="A353" s="4" t="s">
        <v>405</v>
      </c>
      <c r="B353" s="4" t="s">
        <v>400</v>
      </c>
      <c r="C353" s="4" t="s">
        <v>64</v>
      </c>
      <c r="D353" s="6">
        <v>129.0</v>
      </c>
      <c r="E353" s="6">
        <v>30.0</v>
      </c>
      <c r="F353" s="6">
        <v>30.0</v>
      </c>
      <c r="G353" s="6">
        <v>129.0</v>
      </c>
      <c r="H353" s="6">
        <v>1.0</v>
      </c>
      <c r="I353" s="6">
        <v>5.0</v>
      </c>
      <c r="J353" s="6">
        <v>108.0</v>
      </c>
      <c r="K353" s="6">
        <v>305.0</v>
      </c>
      <c r="L353" s="4" t="s">
        <v>97</v>
      </c>
      <c r="M353" s="6">
        <v>127.0</v>
      </c>
      <c r="N353" s="6">
        <v>125.0</v>
      </c>
      <c r="O353" s="6">
        <v>288.0</v>
      </c>
      <c r="P353" s="6">
        <v>54.0</v>
      </c>
      <c r="Q353" s="6">
        <v>0.0</v>
      </c>
      <c r="R353" s="6">
        <v>8.0</v>
      </c>
      <c r="S353" s="7"/>
      <c r="T353" s="6">
        <v>8.0</v>
      </c>
      <c r="U353" s="6">
        <v>989.0</v>
      </c>
      <c r="V353" s="7"/>
      <c r="W353" s="7"/>
      <c r="X353" s="8">
        <f t="shared" si="1"/>
        <v>2.314814815</v>
      </c>
      <c r="Y353" s="9">
        <f t="shared" si="2"/>
        <v>179</v>
      </c>
      <c r="Z353" s="8">
        <f t="shared" si="3"/>
        <v>4.166666667</v>
      </c>
      <c r="AA353" s="8">
        <f t="shared" si="4"/>
        <v>1.8</v>
      </c>
      <c r="AB353" s="8">
        <f t="shared" si="5"/>
        <v>0.2666666667</v>
      </c>
      <c r="AC353" s="8">
        <f t="shared" si="6"/>
        <v>25</v>
      </c>
      <c r="AD353" s="8">
        <f t="shared" si="7"/>
        <v>10.8</v>
      </c>
      <c r="AE353" s="8">
        <f t="shared" si="8"/>
        <v>1.6</v>
      </c>
      <c r="AF353" s="8">
        <f t="shared" si="9"/>
        <v>125</v>
      </c>
      <c r="AG353" s="8">
        <f t="shared" si="10"/>
        <v>54</v>
      </c>
      <c r="AH353" s="8">
        <f t="shared" si="11"/>
        <v>8</v>
      </c>
      <c r="AI353" s="10">
        <f t="shared" si="12"/>
        <v>1.157407407</v>
      </c>
      <c r="AJ353" s="11">
        <f t="shared" si="13"/>
        <v>0.5</v>
      </c>
      <c r="AK353" s="12">
        <f t="shared" si="14"/>
        <v>0.07407407407</v>
      </c>
    </row>
    <row r="354">
      <c r="A354" s="4" t="s">
        <v>406</v>
      </c>
      <c r="B354" s="4" t="s">
        <v>400</v>
      </c>
      <c r="C354" s="4" t="s">
        <v>64</v>
      </c>
      <c r="D354" s="6">
        <v>123.0</v>
      </c>
      <c r="E354" s="6">
        <v>29.0</v>
      </c>
      <c r="F354" s="6">
        <v>29.0</v>
      </c>
      <c r="G354" s="6">
        <v>123.0</v>
      </c>
      <c r="H354" s="6">
        <v>1.0</v>
      </c>
      <c r="I354" s="6">
        <v>5.0</v>
      </c>
      <c r="J354" s="6">
        <v>75.0</v>
      </c>
      <c r="K354" s="6">
        <v>250.0</v>
      </c>
      <c r="L354" s="4" t="s">
        <v>97</v>
      </c>
      <c r="M354" s="6">
        <v>150.0</v>
      </c>
      <c r="N354" s="6">
        <v>100.0</v>
      </c>
      <c r="O354" s="6">
        <v>400.0</v>
      </c>
      <c r="P354" s="6">
        <v>40.0</v>
      </c>
      <c r="Q354" s="6">
        <v>0.0</v>
      </c>
      <c r="R354" s="6">
        <v>8.0</v>
      </c>
      <c r="S354" s="7"/>
      <c r="T354" s="6">
        <v>8.0</v>
      </c>
      <c r="U354" s="6">
        <v>1687.0</v>
      </c>
      <c r="V354" s="7"/>
      <c r="W354" s="7"/>
      <c r="X354" s="8">
        <f t="shared" si="1"/>
        <v>2.5</v>
      </c>
      <c r="Y354" s="9">
        <f t="shared" si="2"/>
        <v>140</v>
      </c>
      <c r="Z354" s="8">
        <f t="shared" si="3"/>
        <v>3.448275862</v>
      </c>
      <c r="AA354" s="8">
        <f t="shared" si="4"/>
        <v>1.379310345</v>
      </c>
      <c r="AB354" s="8">
        <f t="shared" si="5"/>
        <v>0.275862069</v>
      </c>
      <c r="AC354" s="8">
        <f t="shared" si="6"/>
        <v>20</v>
      </c>
      <c r="AD354" s="8">
        <f t="shared" si="7"/>
        <v>8</v>
      </c>
      <c r="AE354" s="8">
        <f t="shared" si="8"/>
        <v>1.6</v>
      </c>
      <c r="AF354" s="8">
        <f t="shared" si="9"/>
        <v>100</v>
      </c>
      <c r="AG354" s="8">
        <f t="shared" si="10"/>
        <v>40</v>
      </c>
      <c r="AH354" s="8">
        <f t="shared" si="11"/>
        <v>8</v>
      </c>
      <c r="AI354" s="10">
        <f t="shared" si="12"/>
        <v>1.333333333</v>
      </c>
      <c r="AJ354" s="11">
        <f t="shared" si="13"/>
        <v>0.5333333333</v>
      </c>
      <c r="AK354" s="12">
        <f t="shared" si="14"/>
        <v>0.1066666667</v>
      </c>
    </row>
    <row r="355">
      <c r="A355" s="4" t="s">
        <v>407</v>
      </c>
      <c r="B355" s="4" t="s">
        <v>400</v>
      </c>
      <c r="C355" s="4" t="s">
        <v>64</v>
      </c>
      <c r="D355" s="6">
        <v>120.0</v>
      </c>
      <c r="E355" s="6">
        <v>27.0</v>
      </c>
      <c r="F355" s="6">
        <v>27.0</v>
      </c>
      <c r="G355" s="6">
        <v>120.0</v>
      </c>
      <c r="H355" s="6">
        <v>1.0</v>
      </c>
      <c r="I355" s="6">
        <v>5.0</v>
      </c>
      <c r="J355" s="6">
        <v>74.0</v>
      </c>
      <c r="K355" s="6">
        <v>231.0</v>
      </c>
      <c r="L355" s="4" t="s">
        <v>97</v>
      </c>
      <c r="M355" s="6">
        <v>165.0</v>
      </c>
      <c r="N355" s="6">
        <v>100.0</v>
      </c>
      <c r="O355" s="6">
        <v>400.0</v>
      </c>
      <c r="P355" s="6">
        <v>53.0</v>
      </c>
      <c r="Q355" s="6">
        <v>0.0</v>
      </c>
      <c r="R355" s="6">
        <v>8.0</v>
      </c>
      <c r="S355" s="7"/>
      <c r="T355" s="6">
        <v>8.0</v>
      </c>
      <c r="U355" s="6">
        <v>1406.0</v>
      </c>
      <c r="V355" s="7"/>
      <c r="W355" s="7"/>
      <c r="X355" s="8">
        <f t="shared" si="1"/>
        <v>1.886792453</v>
      </c>
      <c r="Y355" s="9">
        <f t="shared" si="2"/>
        <v>153</v>
      </c>
      <c r="Z355" s="8">
        <f t="shared" si="3"/>
        <v>3.703703704</v>
      </c>
      <c r="AA355" s="8">
        <f t="shared" si="4"/>
        <v>1.962962963</v>
      </c>
      <c r="AB355" s="8">
        <f t="shared" si="5"/>
        <v>0.2962962963</v>
      </c>
      <c r="AC355" s="8">
        <f t="shared" si="6"/>
        <v>20</v>
      </c>
      <c r="AD355" s="8">
        <f t="shared" si="7"/>
        <v>10.6</v>
      </c>
      <c r="AE355" s="8">
        <f t="shared" si="8"/>
        <v>1.6</v>
      </c>
      <c r="AF355" s="8">
        <f t="shared" si="9"/>
        <v>100</v>
      </c>
      <c r="AG355" s="8">
        <f t="shared" si="10"/>
        <v>53</v>
      </c>
      <c r="AH355" s="8">
        <f t="shared" si="11"/>
        <v>8</v>
      </c>
      <c r="AI355" s="10">
        <f t="shared" si="12"/>
        <v>1.351351351</v>
      </c>
      <c r="AJ355" s="11">
        <f t="shared" si="13"/>
        <v>0.7162162162</v>
      </c>
      <c r="AK355" s="12">
        <f t="shared" si="14"/>
        <v>0.1081081081</v>
      </c>
    </row>
    <row r="356">
      <c r="A356" s="4" t="s">
        <v>408</v>
      </c>
      <c r="B356" s="4" t="s">
        <v>400</v>
      </c>
      <c r="C356" s="4" t="s">
        <v>64</v>
      </c>
      <c r="D356" s="6">
        <v>128.0</v>
      </c>
      <c r="E356" s="6">
        <v>30.0</v>
      </c>
      <c r="F356" s="6">
        <v>30.0</v>
      </c>
      <c r="G356" s="6">
        <v>128.0</v>
      </c>
      <c r="H356" s="6">
        <v>1.0</v>
      </c>
      <c r="I356" s="6">
        <v>5.0</v>
      </c>
      <c r="J356" s="6">
        <v>79.0</v>
      </c>
      <c r="K356" s="6">
        <v>231.0</v>
      </c>
      <c r="L356" s="4" t="s">
        <v>97</v>
      </c>
      <c r="M356" s="6">
        <v>165.0</v>
      </c>
      <c r="N356" s="6">
        <v>100.0</v>
      </c>
      <c r="O356" s="6">
        <v>600.0</v>
      </c>
      <c r="P356" s="6">
        <v>40.0</v>
      </c>
      <c r="Q356" s="6">
        <v>0.0</v>
      </c>
      <c r="R356" s="6">
        <v>8.0</v>
      </c>
      <c r="S356" s="7"/>
      <c r="T356" s="6">
        <v>8.0</v>
      </c>
      <c r="U356" s="6">
        <v>1406.0</v>
      </c>
      <c r="V356" s="7"/>
      <c r="W356" s="7"/>
      <c r="X356" s="8">
        <f t="shared" si="1"/>
        <v>2.5</v>
      </c>
      <c r="Y356" s="9">
        <f t="shared" si="2"/>
        <v>140</v>
      </c>
      <c r="Z356" s="8">
        <f t="shared" si="3"/>
        <v>3.333333333</v>
      </c>
      <c r="AA356" s="8">
        <f t="shared" si="4"/>
        <v>1.333333333</v>
      </c>
      <c r="AB356" s="8">
        <f t="shared" si="5"/>
        <v>0.2666666667</v>
      </c>
      <c r="AC356" s="8">
        <f t="shared" si="6"/>
        <v>20</v>
      </c>
      <c r="AD356" s="8">
        <f t="shared" si="7"/>
        <v>8</v>
      </c>
      <c r="AE356" s="8">
        <f t="shared" si="8"/>
        <v>1.6</v>
      </c>
      <c r="AF356" s="8">
        <f t="shared" si="9"/>
        <v>100</v>
      </c>
      <c r="AG356" s="8">
        <f t="shared" si="10"/>
        <v>40</v>
      </c>
      <c r="AH356" s="8">
        <f t="shared" si="11"/>
        <v>8</v>
      </c>
      <c r="AI356" s="10">
        <f t="shared" si="12"/>
        <v>1.265822785</v>
      </c>
      <c r="AJ356" s="11">
        <f t="shared" si="13"/>
        <v>0.5063291139</v>
      </c>
      <c r="AK356" s="12">
        <f t="shared" si="14"/>
        <v>0.1012658228</v>
      </c>
    </row>
    <row r="357">
      <c r="A357" s="4" t="s">
        <v>409</v>
      </c>
      <c r="B357" s="4" t="s">
        <v>400</v>
      </c>
      <c r="C357" s="4" t="s">
        <v>92</v>
      </c>
      <c r="D357" s="6">
        <v>132.0</v>
      </c>
      <c r="E357" s="6">
        <v>30.0</v>
      </c>
      <c r="F357" s="6">
        <v>30.0</v>
      </c>
      <c r="G357" s="6">
        <v>132.0</v>
      </c>
      <c r="H357" s="6">
        <v>2.0</v>
      </c>
      <c r="I357" s="6">
        <v>5.0</v>
      </c>
      <c r="J357" s="6">
        <v>82.0</v>
      </c>
      <c r="K357" s="6">
        <v>337.0</v>
      </c>
      <c r="L357" s="4" t="s">
        <v>97</v>
      </c>
      <c r="M357" s="6">
        <v>210.0</v>
      </c>
      <c r="N357" s="6">
        <v>100.0</v>
      </c>
      <c r="O357" s="6">
        <v>400.0</v>
      </c>
      <c r="P357" s="6">
        <v>72.0</v>
      </c>
      <c r="Q357" s="6">
        <v>2.0</v>
      </c>
      <c r="R357" s="6">
        <v>8.0</v>
      </c>
      <c r="S357" s="7"/>
      <c r="T357" s="6">
        <v>6.0</v>
      </c>
      <c r="U357" s="6">
        <v>1125.0</v>
      </c>
      <c r="V357" s="7"/>
      <c r="W357" s="7"/>
      <c r="X357" s="8">
        <f t="shared" si="1"/>
        <v>1.388888889</v>
      </c>
      <c r="Y357" s="9">
        <f t="shared" si="2"/>
        <v>172</v>
      </c>
      <c r="Z357" s="8">
        <f t="shared" si="3"/>
        <v>3.333333333</v>
      </c>
      <c r="AA357" s="8">
        <f t="shared" si="4"/>
        <v>2.4</v>
      </c>
      <c r="AB357" s="8">
        <f t="shared" si="5"/>
        <v>0.2</v>
      </c>
      <c r="AC357" s="8">
        <f t="shared" si="6"/>
        <v>20</v>
      </c>
      <c r="AD357" s="8">
        <f t="shared" si="7"/>
        <v>14.4</v>
      </c>
      <c r="AE357" s="8">
        <f t="shared" si="8"/>
        <v>1.2</v>
      </c>
      <c r="AF357" s="8">
        <f t="shared" si="9"/>
        <v>50</v>
      </c>
      <c r="AG357" s="8">
        <f t="shared" si="10"/>
        <v>36</v>
      </c>
      <c r="AH357" s="8">
        <f t="shared" si="11"/>
        <v>3</v>
      </c>
      <c r="AI357" s="10">
        <f t="shared" si="12"/>
        <v>1.219512195</v>
      </c>
      <c r="AJ357" s="11">
        <f t="shared" si="13"/>
        <v>0.8780487805</v>
      </c>
      <c r="AK357" s="12">
        <f t="shared" si="14"/>
        <v>0.07317073171</v>
      </c>
    </row>
    <row r="358">
      <c r="A358" s="4" t="s">
        <v>410</v>
      </c>
      <c r="B358" s="4" t="s">
        <v>400</v>
      </c>
      <c r="C358" s="4" t="s">
        <v>56</v>
      </c>
      <c r="D358" s="6">
        <v>155.0</v>
      </c>
      <c r="E358" s="6">
        <v>36.0</v>
      </c>
      <c r="F358" s="6">
        <v>36.0</v>
      </c>
      <c r="G358" s="6">
        <v>155.0</v>
      </c>
      <c r="H358" s="6">
        <v>1.0</v>
      </c>
      <c r="I358" s="6">
        <v>7.0</v>
      </c>
      <c r="J358" s="6">
        <v>100.0</v>
      </c>
      <c r="K358" s="6">
        <v>308.0</v>
      </c>
      <c r="L358" s="4" t="s">
        <v>97</v>
      </c>
      <c r="M358" s="6">
        <v>285.0</v>
      </c>
      <c r="N358" s="6">
        <v>75.0</v>
      </c>
      <c r="O358" s="6">
        <v>500.0</v>
      </c>
      <c r="P358" s="6">
        <v>82.0</v>
      </c>
      <c r="Q358" s="6">
        <v>2.0</v>
      </c>
      <c r="R358" s="6">
        <v>10.0</v>
      </c>
      <c r="S358" s="7"/>
      <c r="T358" s="6">
        <v>12.0</v>
      </c>
      <c r="U358" s="6">
        <v>1828.0</v>
      </c>
      <c r="V358" s="7"/>
      <c r="W358" s="7"/>
      <c r="X358" s="8">
        <f t="shared" si="1"/>
        <v>0.9146341463</v>
      </c>
      <c r="Y358" s="9">
        <f t="shared" si="2"/>
        <v>157</v>
      </c>
      <c r="Z358" s="8">
        <f t="shared" si="3"/>
        <v>2.083333333</v>
      </c>
      <c r="AA358" s="8">
        <f t="shared" si="4"/>
        <v>2.277777778</v>
      </c>
      <c r="AB358" s="8">
        <f t="shared" si="5"/>
        <v>0.3333333333</v>
      </c>
      <c r="AC358" s="8">
        <f t="shared" si="6"/>
        <v>10.71428571</v>
      </c>
      <c r="AD358" s="8">
        <f t="shared" si="7"/>
        <v>11.71428571</v>
      </c>
      <c r="AE358" s="8">
        <f t="shared" si="8"/>
        <v>1.714285714</v>
      </c>
      <c r="AF358" s="8">
        <f t="shared" si="9"/>
        <v>75</v>
      </c>
      <c r="AG358" s="8">
        <f t="shared" si="10"/>
        <v>82</v>
      </c>
      <c r="AH358" s="8">
        <f t="shared" si="11"/>
        <v>12</v>
      </c>
      <c r="AI358" s="10">
        <f t="shared" si="12"/>
        <v>0.75</v>
      </c>
      <c r="AJ358" s="11">
        <f t="shared" si="13"/>
        <v>0.82</v>
      </c>
      <c r="AK358" s="12">
        <f t="shared" si="14"/>
        <v>0.12</v>
      </c>
    </row>
    <row r="359">
      <c r="A359" s="4" t="s">
        <v>411</v>
      </c>
      <c r="B359" s="4" t="s">
        <v>400</v>
      </c>
      <c r="C359" s="4" t="s">
        <v>56</v>
      </c>
      <c r="D359" s="6">
        <v>178.0</v>
      </c>
      <c r="E359" s="6">
        <v>41.0</v>
      </c>
      <c r="F359" s="6">
        <v>41.0</v>
      </c>
      <c r="G359" s="6">
        <v>178.0</v>
      </c>
      <c r="H359" s="6">
        <v>1.0</v>
      </c>
      <c r="I359" s="6">
        <v>8.0</v>
      </c>
      <c r="J359" s="6">
        <v>114.0</v>
      </c>
      <c r="K359" s="6">
        <v>308.0</v>
      </c>
      <c r="L359" s="4" t="s">
        <v>97</v>
      </c>
      <c r="M359" s="6">
        <v>285.0</v>
      </c>
      <c r="N359" s="6">
        <v>75.0</v>
      </c>
      <c r="O359" s="6">
        <v>750.0</v>
      </c>
      <c r="P359" s="6">
        <v>73.0</v>
      </c>
      <c r="Q359" s="6">
        <v>2.0</v>
      </c>
      <c r="R359" s="6">
        <v>10.0</v>
      </c>
      <c r="S359" s="7"/>
      <c r="T359" s="6">
        <v>12.0</v>
      </c>
      <c r="U359" s="6">
        <v>1828.0</v>
      </c>
      <c r="V359" s="7"/>
      <c r="W359" s="7"/>
      <c r="X359" s="8">
        <f t="shared" si="1"/>
        <v>1.02739726</v>
      </c>
      <c r="Y359" s="9">
        <f t="shared" si="2"/>
        <v>148</v>
      </c>
      <c r="Z359" s="8">
        <f t="shared" si="3"/>
        <v>1.829268293</v>
      </c>
      <c r="AA359" s="8">
        <f t="shared" si="4"/>
        <v>1.780487805</v>
      </c>
      <c r="AB359" s="8">
        <f t="shared" si="5"/>
        <v>0.2926829268</v>
      </c>
      <c r="AC359" s="8">
        <f t="shared" si="6"/>
        <v>9.375</v>
      </c>
      <c r="AD359" s="8">
        <f t="shared" si="7"/>
        <v>9.125</v>
      </c>
      <c r="AE359" s="8">
        <f t="shared" si="8"/>
        <v>1.5</v>
      </c>
      <c r="AF359" s="8">
        <f t="shared" si="9"/>
        <v>75</v>
      </c>
      <c r="AG359" s="8">
        <f t="shared" si="10"/>
        <v>73</v>
      </c>
      <c r="AH359" s="8">
        <f t="shared" si="11"/>
        <v>12</v>
      </c>
      <c r="AI359" s="10">
        <f t="shared" si="12"/>
        <v>0.6578947368</v>
      </c>
      <c r="AJ359" s="11">
        <f t="shared" si="13"/>
        <v>0.6403508772</v>
      </c>
      <c r="AK359" s="12">
        <f t="shared" si="14"/>
        <v>0.1052631579</v>
      </c>
    </row>
    <row r="360">
      <c r="A360" s="4" t="s">
        <v>412</v>
      </c>
      <c r="B360" s="4" t="s">
        <v>400</v>
      </c>
      <c r="C360" s="4" t="s">
        <v>56</v>
      </c>
      <c r="D360" s="6">
        <v>190.0</v>
      </c>
      <c r="E360" s="6">
        <v>43.0</v>
      </c>
      <c r="F360" s="6">
        <v>43.0</v>
      </c>
      <c r="G360" s="6">
        <v>190.0</v>
      </c>
      <c r="H360" s="6">
        <v>1.0</v>
      </c>
      <c r="I360" s="6">
        <v>8.0</v>
      </c>
      <c r="J360" s="6">
        <v>123.0</v>
      </c>
      <c r="K360" s="6">
        <v>288.0</v>
      </c>
      <c r="L360" s="4" t="s">
        <v>97</v>
      </c>
      <c r="M360" s="6">
        <v>315.0</v>
      </c>
      <c r="N360" s="6">
        <v>125.0</v>
      </c>
      <c r="O360" s="6">
        <v>500.0</v>
      </c>
      <c r="P360" s="6">
        <v>100.0</v>
      </c>
      <c r="Q360" s="6">
        <v>1.0</v>
      </c>
      <c r="R360" s="6">
        <v>10.0</v>
      </c>
      <c r="S360" s="7"/>
      <c r="T360" s="6">
        <v>12.0</v>
      </c>
      <c r="U360" s="6">
        <v>1968.0</v>
      </c>
      <c r="V360" s="7"/>
      <c r="W360" s="7"/>
      <c r="X360" s="8">
        <f t="shared" si="1"/>
        <v>1.25</v>
      </c>
      <c r="Y360" s="9">
        <f t="shared" si="2"/>
        <v>225</v>
      </c>
      <c r="Z360" s="8">
        <f t="shared" si="3"/>
        <v>2.906976744</v>
      </c>
      <c r="AA360" s="8">
        <f t="shared" si="4"/>
        <v>2.325581395</v>
      </c>
      <c r="AB360" s="8">
        <f t="shared" si="5"/>
        <v>0.2790697674</v>
      </c>
      <c r="AC360" s="8">
        <f t="shared" si="6"/>
        <v>15.625</v>
      </c>
      <c r="AD360" s="8">
        <f t="shared" si="7"/>
        <v>12.5</v>
      </c>
      <c r="AE360" s="8">
        <f t="shared" si="8"/>
        <v>1.5</v>
      </c>
      <c r="AF360" s="8">
        <f t="shared" si="9"/>
        <v>125</v>
      </c>
      <c r="AG360" s="8">
        <f t="shared" si="10"/>
        <v>100</v>
      </c>
      <c r="AH360" s="8">
        <f t="shared" si="11"/>
        <v>12</v>
      </c>
      <c r="AI360" s="10">
        <f t="shared" si="12"/>
        <v>1.016260163</v>
      </c>
      <c r="AJ360" s="11">
        <f t="shared" si="13"/>
        <v>0.8130081301</v>
      </c>
      <c r="AK360" s="12">
        <f t="shared" si="14"/>
        <v>0.09756097561</v>
      </c>
    </row>
    <row r="361">
      <c r="A361" s="4" t="s">
        <v>413</v>
      </c>
      <c r="B361" s="4" t="s">
        <v>400</v>
      </c>
      <c r="C361" s="4" t="s">
        <v>56</v>
      </c>
      <c r="D361" s="6">
        <v>228.0</v>
      </c>
      <c r="E361" s="6">
        <v>53.0</v>
      </c>
      <c r="F361" s="6">
        <v>53.0</v>
      </c>
      <c r="G361" s="6">
        <v>228.0</v>
      </c>
      <c r="H361" s="6">
        <v>1.0</v>
      </c>
      <c r="I361" s="6">
        <v>10.0</v>
      </c>
      <c r="J361" s="6">
        <v>147.0</v>
      </c>
      <c r="K361" s="6">
        <v>309.0</v>
      </c>
      <c r="L361" s="4" t="s">
        <v>97</v>
      </c>
      <c r="M361" s="6">
        <v>315.0</v>
      </c>
      <c r="N361" s="6">
        <v>125.0</v>
      </c>
      <c r="O361" s="6">
        <v>500.0</v>
      </c>
      <c r="P361" s="6">
        <v>60.0</v>
      </c>
      <c r="Q361" s="6">
        <v>1.0</v>
      </c>
      <c r="R361" s="6">
        <v>10.0</v>
      </c>
      <c r="S361" s="7"/>
      <c r="T361" s="6">
        <v>12.0</v>
      </c>
      <c r="U361" s="6">
        <v>2362.0</v>
      </c>
      <c r="V361" s="7"/>
      <c r="W361" s="7"/>
      <c r="X361" s="8">
        <f t="shared" si="1"/>
        <v>2.083333333</v>
      </c>
      <c r="Y361" s="9">
        <f t="shared" si="2"/>
        <v>185</v>
      </c>
      <c r="Z361" s="8">
        <f t="shared" si="3"/>
        <v>2.358490566</v>
      </c>
      <c r="AA361" s="8">
        <f t="shared" si="4"/>
        <v>1.132075472</v>
      </c>
      <c r="AB361" s="8">
        <f t="shared" si="5"/>
        <v>0.2264150943</v>
      </c>
      <c r="AC361" s="8">
        <f t="shared" si="6"/>
        <v>12.5</v>
      </c>
      <c r="AD361" s="8">
        <f t="shared" si="7"/>
        <v>6</v>
      </c>
      <c r="AE361" s="8">
        <f t="shared" si="8"/>
        <v>1.2</v>
      </c>
      <c r="AF361" s="8">
        <f t="shared" si="9"/>
        <v>125</v>
      </c>
      <c r="AG361" s="8">
        <f t="shared" si="10"/>
        <v>60</v>
      </c>
      <c r="AH361" s="8">
        <f t="shared" si="11"/>
        <v>12</v>
      </c>
      <c r="AI361" s="10">
        <f t="shared" si="12"/>
        <v>0.8503401361</v>
      </c>
      <c r="AJ361" s="11">
        <f t="shared" si="13"/>
        <v>0.4081632653</v>
      </c>
      <c r="AK361" s="12">
        <f t="shared" si="14"/>
        <v>0.08163265306</v>
      </c>
    </row>
    <row r="362">
      <c r="A362" s="4" t="s">
        <v>414</v>
      </c>
      <c r="B362" s="4" t="s">
        <v>400</v>
      </c>
      <c r="C362" s="4" t="s">
        <v>49</v>
      </c>
      <c r="D362" s="6">
        <v>278.0</v>
      </c>
      <c r="E362" s="6">
        <v>66.0</v>
      </c>
      <c r="F362" s="6">
        <v>66.0</v>
      </c>
      <c r="G362" s="6">
        <v>278.0</v>
      </c>
      <c r="H362" s="6">
        <v>1.0</v>
      </c>
      <c r="I362" s="6">
        <v>12.0</v>
      </c>
      <c r="J362" s="6">
        <v>173.0</v>
      </c>
      <c r="K362" s="6">
        <v>247.0</v>
      </c>
      <c r="L362" s="4" t="s">
        <v>97</v>
      </c>
      <c r="M362" s="6">
        <v>330.0</v>
      </c>
      <c r="N362" s="6">
        <v>200.0</v>
      </c>
      <c r="O362" s="6">
        <v>750.0</v>
      </c>
      <c r="P362" s="6">
        <v>100.0</v>
      </c>
      <c r="Q362" s="6">
        <v>2.0</v>
      </c>
      <c r="R362" s="6">
        <v>8.0</v>
      </c>
      <c r="S362" s="7"/>
      <c r="T362" s="6">
        <v>9.0</v>
      </c>
      <c r="U362" s="6">
        <v>1546.0</v>
      </c>
      <c r="V362" s="7"/>
      <c r="W362" s="7"/>
      <c r="X362" s="8">
        <f t="shared" si="1"/>
        <v>2</v>
      </c>
      <c r="Y362" s="9">
        <f t="shared" si="2"/>
        <v>300</v>
      </c>
      <c r="Z362" s="8">
        <f t="shared" si="3"/>
        <v>3.03030303</v>
      </c>
      <c r="AA362" s="8">
        <f t="shared" si="4"/>
        <v>1.515151515</v>
      </c>
      <c r="AB362" s="8">
        <f t="shared" si="5"/>
        <v>0.1363636364</v>
      </c>
      <c r="AC362" s="8">
        <f t="shared" si="6"/>
        <v>16.66666667</v>
      </c>
      <c r="AD362" s="8">
        <f t="shared" si="7"/>
        <v>8.333333333</v>
      </c>
      <c r="AE362" s="8">
        <f t="shared" si="8"/>
        <v>0.75</v>
      </c>
      <c r="AF362" s="8">
        <f t="shared" si="9"/>
        <v>200</v>
      </c>
      <c r="AG362" s="8">
        <f t="shared" si="10"/>
        <v>100</v>
      </c>
      <c r="AH362" s="8">
        <f t="shared" si="11"/>
        <v>9</v>
      </c>
      <c r="AI362" s="10">
        <f t="shared" si="12"/>
        <v>1.156069364</v>
      </c>
      <c r="AJ362" s="11">
        <f t="shared" si="13"/>
        <v>0.5780346821</v>
      </c>
      <c r="AK362" s="12">
        <f t="shared" si="14"/>
        <v>0.05202312139</v>
      </c>
    </row>
    <row r="363">
      <c r="A363" s="4" t="s">
        <v>414</v>
      </c>
      <c r="B363" s="4" t="s">
        <v>400</v>
      </c>
      <c r="C363" s="4" t="s">
        <v>92</v>
      </c>
      <c r="D363" s="6">
        <v>160.0</v>
      </c>
      <c r="E363" s="6">
        <v>38.0</v>
      </c>
      <c r="F363" s="6">
        <v>38.0</v>
      </c>
      <c r="G363" s="6">
        <v>160.0</v>
      </c>
      <c r="H363" s="6">
        <v>2.0</v>
      </c>
      <c r="I363" s="6">
        <v>7.0</v>
      </c>
      <c r="J363" s="6">
        <v>100.0</v>
      </c>
      <c r="K363" s="6">
        <v>247.0</v>
      </c>
      <c r="L363" s="4" t="s">
        <v>97</v>
      </c>
      <c r="M363" s="6">
        <v>330.0</v>
      </c>
      <c r="N363" s="6">
        <v>125.0</v>
      </c>
      <c r="O363" s="6">
        <v>500.0</v>
      </c>
      <c r="P363" s="6">
        <v>100.0</v>
      </c>
      <c r="Q363" s="6">
        <v>2.0</v>
      </c>
      <c r="R363" s="6">
        <v>8.0</v>
      </c>
      <c r="S363" s="7"/>
      <c r="T363" s="6">
        <v>9.0</v>
      </c>
      <c r="U363" s="6">
        <v>1546.0</v>
      </c>
      <c r="V363" s="7"/>
      <c r="W363" s="7"/>
      <c r="X363" s="8">
        <f t="shared" si="1"/>
        <v>1.25</v>
      </c>
      <c r="Y363" s="9">
        <f t="shared" si="2"/>
        <v>225</v>
      </c>
      <c r="Z363" s="8">
        <f t="shared" si="3"/>
        <v>3.289473684</v>
      </c>
      <c r="AA363" s="8">
        <f t="shared" si="4"/>
        <v>2.631578947</v>
      </c>
      <c r="AB363" s="8">
        <f t="shared" si="5"/>
        <v>0.2368421053</v>
      </c>
      <c r="AC363" s="8">
        <f t="shared" si="6"/>
        <v>17.85714286</v>
      </c>
      <c r="AD363" s="8">
        <f t="shared" si="7"/>
        <v>14.28571429</v>
      </c>
      <c r="AE363" s="8">
        <f t="shared" si="8"/>
        <v>1.285714286</v>
      </c>
      <c r="AF363" s="8">
        <f t="shared" si="9"/>
        <v>62.5</v>
      </c>
      <c r="AG363" s="8">
        <f t="shared" si="10"/>
        <v>50</v>
      </c>
      <c r="AH363" s="8">
        <f t="shared" si="11"/>
        <v>4.5</v>
      </c>
      <c r="AI363" s="10">
        <f t="shared" si="12"/>
        <v>1.25</v>
      </c>
      <c r="AJ363" s="11">
        <f t="shared" si="13"/>
        <v>1</v>
      </c>
      <c r="AK363" s="12">
        <f t="shared" si="14"/>
        <v>0.09</v>
      </c>
    </row>
    <row r="364">
      <c r="A364" s="4" t="s">
        <v>415</v>
      </c>
      <c r="B364" s="4" t="s">
        <v>400</v>
      </c>
      <c r="C364" s="4" t="s">
        <v>73</v>
      </c>
      <c r="D364" s="6">
        <v>190.0</v>
      </c>
      <c r="E364" s="6">
        <v>44.0</v>
      </c>
      <c r="F364" s="6">
        <v>44.0</v>
      </c>
      <c r="G364" s="6">
        <v>190.0</v>
      </c>
      <c r="H364" s="6">
        <v>2.0</v>
      </c>
      <c r="I364" s="6">
        <v>8.0</v>
      </c>
      <c r="J364" s="6">
        <v>88.0</v>
      </c>
      <c r="K364" s="6">
        <v>225.0</v>
      </c>
      <c r="L364" s="4" t="s">
        <v>97</v>
      </c>
      <c r="M364" s="6">
        <v>390.0</v>
      </c>
      <c r="N364" s="6">
        <v>150.0</v>
      </c>
      <c r="O364" s="6">
        <v>400.0</v>
      </c>
      <c r="P364" s="6">
        <v>130.0</v>
      </c>
      <c r="Q364" s="6">
        <v>2.0</v>
      </c>
      <c r="R364" s="6">
        <v>10.0</v>
      </c>
      <c r="S364" s="7"/>
      <c r="T364" s="6">
        <v>9.0</v>
      </c>
      <c r="U364" s="6">
        <v>1968.0</v>
      </c>
      <c r="V364" s="7"/>
      <c r="W364" s="7"/>
      <c r="X364" s="8">
        <f t="shared" si="1"/>
        <v>1.153846154</v>
      </c>
      <c r="Y364" s="9">
        <f t="shared" si="2"/>
        <v>280</v>
      </c>
      <c r="Z364" s="8">
        <f t="shared" si="3"/>
        <v>3.409090909</v>
      </c>
      <c r="AA364" s="8">
        <f t="shared" si="4"/>
        <v>2.954545455</v>
      </c>
      <c r="AB364" s="8">
        <f t="shared" si="5"/>
        <v>0.2045454545</v>
      </c>
      <c r="AC364" s="8">
        <f t="shared" si="6"/>
        <v>18.75</v>
      </c>
      <c r="AD364" s="8">
        <f t="shared" si="7"/>
        <v>16.25</v>
      </c>
      <c r="AE364" s="8">
        <f t="shared" si="8"/>
        <v>1.125</v>
      </c>
      <c r="AF364" s="8">
        <f t="shared" si="9"/>
        <v>75</v>
      </c>
      <c r="AG364" s="8">
        <f t="shared" si="10"/>
        <v>65</v>
      </c>
      <c r="AH364" s="8">
        <f t="shared" si="11"/>
        <v>4.5</v>
      </c>
      <c r="AI364" s="10">
        <f t="shared" si="12"/>
        <v>1.704545455</v>
      </c>
      <c r="AJ364" s="11">
        <f t="shared" si="13"/>
        <v>1.477272727</v>
      </c>
      <c r="AK364" s="12">
        <f t="shared" si="14"/>
        <v>0.1022727273</v>
      </c>
    </row>
    <row r="365">
      <c r="A365" s="4" t="s">
        <v>416</v>
      </c>
      <c r="B365" s="4" t="s">
        <v>400</v>
      </c>
      <c r="C365" s="4" t="s">
        <v>49</v>
      </c>
      <c r="D365" s="6">
        <v>184.0</v>
      </c>
      <c r="E365" s="6">
        <v>43.0</v>
      </c>
      <c r="F365" s="6">
        <v>43.0</v>
      </c>
      <c r="G365" s="6">
        <v>184.0</v>
      </c>
      <c r="H365" s="6">
        <v>1.0</v>
      </c>
      <c r="I365" s="6">
        <v>8.0</v>
      </c>
      <c r="J365" s="6">
        <v>114.0</v>
      </c>
      <c r="K365" s="6">
        <v>213.0</v>
      </c>
      <c r="L365" s="4" t="s">
        <v>97</v>
      </c>
      <c r="M365" s="6">
        <v>315.0</v>
      </c>
      <c r="N365" s="6">
        <v>100.0</v>
      </c>
      <c r="O365" s="6">
        <v>450.0</v>
      </c>
      <c r="P365" s="6">
        <v>73.0</v>
      </c>
      <c r="Q365" s="6">
        <v>1.0</v>
      </c>
      <c r="R365" s="6">
        <v>12.0</v>
      </c>
      <c r="S365" s="7"/>
      <c r="T365" s="6">
        <v>14.0</v>
      </c>
      <c r="U365" s="6">
        <v>1968.0</v>
      </c>
      <c r="V365" s="7"/>
      <c r="W365" s="7"/>
      <c r="X365" s="8">
        <f t="shared" si="1"/>
        <v>1.369863014</v>
      </c>
      <c r="Y365" s="9">
        <f t="shared" si="2"/>
        <v>173</v>
      </c>
      <c r="Z365" s="8">
        <f t="shared" si="3"/>
        <v>2.325581395</v>
      </c>
      <c r="AA365" s="8">
        <f t="shared" si="4"/>
        <v>1.697674419</v>
      </c>
      <c r="AB365" s="8">
        <f t="shared" si="5"/>
        <v>0.3255813953</v>
      </c>
      <c r="AC365" s="8">
        <f t="shared" si="6"/>
        <v>12.5</v>
      </c>
      <c r="AD365" s="8">
        <f t="shared" si="7"/>
        <v>9.125</v>
      </c>
      <c r="AE365" s="8">
        <f t="shared" si="8"/>
        <v>1.75</v>
      </c>
      <c r="AF365" s="8">
        <f t="shared" si="9"/>
        <v>100</v>
      </c>
      <c r="AG365" s="8">
        <f t="shared" si="10"/>
        <v>73</v>
      </c>
      <c r="AH365" s="8">
        <f t="shared" si="11"/>
        <v>14</v>
      </c>
      <c r="AI365" s="10">
        <f t="shared" si="12"/>
        <v>0.8771929825</v>
      </c>
      <c r="AJ365" s="11">
        <f t="shared" si="13"/>
        <v>0.6403508772</v>
      </c>
      <c r="AK365" s="12">
        <f t="shared" si="14"/>
        <v>0.1228070175</v>
      </c>
    </row>
    <row r="366">
      <c r="A366" s="4" t="s">
        <v>417</v>
      </c>
      <c r="B366" s="4" t="s">
        <v>400</v>
      </c>
      <c r="C366" s="4" t="s">
        <v>91</v>
      </c>
      <c r="D366" s="6">
        <v>91.0</v>
      </c>
      <c r="E366" s="6">
        <v>21.0</v>
      </c>
      <c r="F366" s="6">
        <v>21.0</v>
      </c>
      <c r="G366" s="6">
        <v>91.0</v>
      </c>
      <c r="H366" s="6">
        <v>1.0</v>
      </c>
      <c r="I366" s="6">
        <v>4.0</v>
      </c>
      <c r="J366" s="6">
        <v>57.0</v>
      </c>
      <c r="K366" s="6">
        <v>249.0</v>
      </c>
      <c r="L366" s="4" t="s">
        <v>97</v>
      </c>
      <c r="M366" s="6">
        <v>270.0</v>
      </c>
      <c r="N366" s="6">
        <v>40.0</v>
      </c>
      <c r="O366" s="6">
        <v>200.0</v>
      </c>
      <c r="P366" s="6">
        <v>100.0</v>
      </c>
      <c r="Q366" s="6">
        <v>0.0</v>
      </c>
      <c r="R366" s="6">
        <v>8.0</v>
      </c>
      <c r="S366" s="7"/>
      <c r="T366" s="6">
        <v>6.0</v>
      </c>
      <c r="U366" s="6">
        <v>1757.0</v>
      </c>
      <c r="V366" s="7"/>
      <c r="W366" s="7"/>
      <c r="X366" s="8">
        <f t="shared" si="1"/>
        <v>0.4</v>
      </c>
      <c r="Y366" s="9">
        <f t="shared" si="2"/>
        <v>140</v>
      </c>
      <c r="Z366" s="8">
        <f t="shared" si="3"/>
        <v>1.904761905</v>
      </c>
      <c r="AA366" s="8">
        <f t="shared" si="4"/>
        <v>4.761904762</v>
      </c>
      <c r="AB366" s="8">
        <f t="shared" si="5"/>
        <v>0.2857142857</v>
      </c>
      <c r="AC366" s="8">
        <f t="shared" si="6"/>
        <v>10</v>
      </c>
      <c r="AD366" s="8">
        <f t="shared" si="7"/>
        <v>25</v>
      </c>
      <c r="AE366" s="8">
        <f t="shared" si="8"/>
        <v>1.5</v>
      </c>
      <c r="AF366" s="8">
        <f t="shared" si="9"/>
        <v>40</v>
      </c>
      <c r="AG366" s="8">
        <f t="shared" si="10"/>
        <v>100</v>
      </c>
      <c r="AH366" s="8">
        <f t="shared" si="11"/>
        <v>6</v>
      </c>
      <c r="AI366" s="10">
        <f t="shared" si="12"/>
        <v>0.701754386</v>
      </c>
      <c r="AJ366" s="11">
        <f t="shared" si="13"/>
        <v>1.754385965</v>
      </c>
      <c r="AK366" s="12">
        <f t="shared" si="14"/>
        <v>0.1052631579</v>
      </c>
    </row>
    <row r="367">
      <c r="A367" s="4" t="s">
        <v>418</v>
      </c>
      <c r="B367" s="4" t="s">
        <v>400</v>
      </c>
      <c r="C367" s="4" t="s">
        <v>91</v>
      </c>
      <c r="D367" s="6">
        <v>114.0</v>
      </c>
      <c r="E367" s="6">
        <v>26.0</v>
      </c>
      <c r="F367" s="6">
        <v>26.0</v>
      </c>
      <c r="G367" s="6">
        <v>114.0</v>
      </c>
      <c r="H367" s="6">
        <v>1.0</v>
      </c>
      <c r="I367" s="6">
        <v>5.0</v>
      </c>
      <c r="J367" s="6">
        <v>71.0</v>
      </c>
      <c r="K367" s="6">
        <v>269.0</v>
      </c>
      <c r="L367" s="4" t="s">
        <v>97</v>
      </c>
      <c r="M367" s="6">
        <v>270.0</v>
      </c>
      <c r="N367" s="6">
        <v>40.0</v>
      </c>
      <c r="O367" s="6">
        <v>200.0</v>
      </c>
      <c r="P367" s="6">
        <v>100.0</v>
      </c>
      <c r="Q367" s="6">
        <v>1.0</v>
      </c>
      <c r="R367" s="6">
        <v>9.0</v>
      </c>
      <c r="S367" s="7"/>
      <c r="T367" s="6">
        <v>6.0</v>
      </c>
      <c r="U367" s="6">
        <v>2109.0</v>
      </c>
      <c r="V367" s="7"/>
      <c r="W367" s="7"/>
      <c r="X367" s="8">
        <f t="shared" si="1"/>
        <v>0.4</v>
      </c>
      <c r="Y367" s="9">
        <f t="shared" si="2"/>
        <v>140</v>
      </c>
      <c r="Z367" s="8">
        <f t="shared" si="3"/>
        <v>1.538461538</v>
      </c>
      <c r="AA367" s="8">
        <f t="shared" si="4"/>
        <v>3.846153846</v>
      </c>
      <c r="AB367" s="8">
        <f t="shared" si="5"/>
        <v>0.2307692308</v>
      </c>
      <c r="AC367" s="8">
        <f t="shared" si="6"/>
        <v>8</v>
      </c>
      <c r="AD367" s="8">
        <f t="shared" si="7"/>
        <v>20</v>
      </c>
      <c r="AE367" s="8">
        <f t="shared" si="8"/>
        <v>1.2</v>
      </c>
      <c r="AF367" s="8">
        <f t="shared" si="9"/>
        <v>40</v>
      </c>
      <c r="AG367" s="8">
        <f t="shared" si="10"/>
        <v>100</v>
      </c>
      <c r="AH367" s="8">
        <f t="shared" si="11"/>
        <v>6</v>
      </c>
      <c r="AI367" s="10">
        <f t="shared" si="12"/>
        <v>0.5633802817</v>
      </c>
      <c r="AJ367" s="11">
        <f t="shared" si="13"/>
        <v>1.408450704</v>
      </c>
      <c r="AK367" s="12">
        <f t="shared" si="14"/>
        <v>0.08450704225</v>
      </c>
    </row>
    <row r="368">
      <c r="A368" s="4" t="s">
        <v>419</v>
      </c>
      <c r="B368" s="4" t="s">
        <v>400</v>
      </c>
      <c r="C368" s="4" t="s">
        <v>91</v>
      </c>
      <c r="D368" s="6">
        <v>114.0</v>
      </c>
      <c r="E368" s="6">
        <v>26.0</v>
      </c>
      <c r="F368" s="6">
        <v>26.0</v>
      </c>
      <c r="G368" s="6">
        <v>114.0</v>
      </c>
      <c r="H368" s="6">
        <v>1.0</v>
      </c>
      <c r="I368" s="6">
        <v>5.0</v>
      </c>
      <c r="J368" s="6">
        <v>71.0</v>
      </c>
      <c r="K368" s="6">
        <v>249.0</v>
      </c>
      <c r="L368" s="4" t="s">
        <v>97</v>
      </c>
      <c r="M368" s="6">
        <v>285.0</v>
      </c>
      <c r="N368" s="6">
        <v>40.0</v>
      </c>
      <c r="O368" s="6">
        <v>200.0</v>
      </c>
      <c r="P368" s="6">
        <v>130.0</v>
      </c>
      <c r="Q368" s="6">
        <v>1.0</v>
      </c>
      <c r="R368" s="6">
        <v>9.0</v>
      </c>
      <c r="S368" s="7"/>
      <c r="T368" s="6">
        <v>6.0</v>
      </c>
      <c r="U368" s="6">
        <v>1757.0</v>
      </c>
      <c r="V368" s="7"/>
      <c r="W368" s="7"/>
      <c r="X368" s="8">
        <f t="shared" si="1"/>
        <v>0.3076923077</v>
      </c>
      <c r="Y368" s="9">
        <f t="shared" si="2"/>
        <v>170</v>
      </c>
      <c r="Z368" s="8">
        <f t="shared" si="3"/>
        <v>1.538461538</v>
      </c>
      <c r="AA368" s="8">
        <f t="shared" si="4"/>
        <v>5</v>
      </c>
      <c r="AB368" s="8">
        <f t="shared" si="5"/>
        <v>0.2307692308</v>
      </c>
      <c r="AC368" s="8">
        <f t="shared" si="6"/>
        <v>8</v>
      </c>
      <c r="AD368" s="8">
        <f t="shared" si="7"/>
        <v>26</v>
      </c>
      <c r="AE368" s="8">
        <f t="shared" si="8"/>
        <v>1.2</v>
      </c>
      <c r="AF368" s="8">
        <f t="shared" si="9"/>
        <v>40</v>
      </c>
      <c r="AG368" s="8">
        <f t="shared" si="10"/>
        <v>130</v>
      </c>
      <c r="AH368" s="8">
        <f t="shared" si="11"/>
        <v>6</v>
      </c>
      <c r="AI368" s="10">
        <f t="shared" si="12"/>
        <v>0.5633802817</v>
      </c>
      <c r="AJ368" s="11">
        <f t="shared" si="13"/>
        <v>1.830985915</v>
      </c>
      <c r="AK368" s="12">
        <f t="shared" si="14"/>
        <v>0.08450704225</v>
      </c>
    </row>
    <row r="369">
      <c r="A369" s="4" t="s">
        <v>420</v>
      </c>
      <c r="B369" s="4" t="s">
        <v>400</v>
      </c>
      <c r="C369" s="4" t="s">
        <v>92</v>
      </c>
      <c r="D369" s="6">
        <v>167.0</v>
      </c>
      <c r="E369" s="6">
        <v>38.0</v>
      </c>
      <c r="F369" s="6">
        <v>38.0</v>
      </c>
      <c r="G369" s="6">
        <v>167.0</v>
      </c>
      <c r="H369" s="6">
        <v>2.0</v>
      </c>
      <c r="I369" s="6">
        <v>7.0</v>
      </c>
      <c r="J369" s="6">
        <v>104.0</v>
      </c>
      <c r="K369" s="6">
        <v>225.0</v>
      </c>
      <c r="L369" s="4" t="s">
        <v>97</v>
      </c>
      <c r="M369" s="6">
        <v>204.0</v>
      </c>
      <c r="N369" s="6">
        <v>100.0</v>
      </c>
      <c r="O369" s="6">
        <v>261.0</v>
      </c>
      <c r="P369" s="6">
        <v>72.0</v>
      </c>
      <c r="Q369" s="6">
        <v>0.0</v>
      </c>
      <c r="R369" s="6">
        <v>8.0</v>
      </c>
      <c r="S369" s="7"/>
      <c r="T369" s="6">
        <v>6.0</v>
      </c>
      <c r="U369" s="6">
        <v>549.0</v>
      </c>
      <c r="V369" s="7"/>
      <c r="W369" s="7"/>
      <c r="X369" s="8">
        <f t="shared" si="1"/>
        <v>1.388888889</v>
      </c>
      <c r="Y369" s="9">
        <f t="shared" si="2"/>
        <v>172</v>
      </c>
      <c r="Z369" s="8">
        <f t="shared" si="3"/>
        <v>2.631578947</v>
      </c>
      <c r="AA369" s="8">
        <f t="shared" si="4"/>
        <v>1.894736842</v>
      </c>
      <c r="AB369" s="8">
        <f t="shared" si="5"/>
        <v>0.1578947368</v>
      </c>
      <c r="AC369" s="8">
        <f t="shared" si="6"/>
        <v>14.28571429</v>
      </c>
      <c r="AD369" s="8">
        <f t="shared" si="7"/>
        <v>10.28571429</v>
      </c>
      <c r="AE369" s="8">
        <f t="shared" si="8"/>
        <v>0.8571428571</v>
      </c>
      <c r="AF369" s="8">
        <f t="shared" si="9"/>
        <v>50</v>
      </c>
      <c r="AG369" s="8">
        <f t="shared" si="10"/>
        <v>36</v>
      </c>
      <c r="AH369" s="8">
        <f t="shared" si="11"/>
        <v>3</v>
      </c>
      <c r="AI369" s="10">
        <f t="shared" si="12"/>
        <v>0.9615384615</v>
      </c>
      <c r="AJ369" s="11">
        <f t="shared" si="13"/>
        <v>0.6923076923</v>
      </c>
      <c r="AK369" s="12">
        <f t="shared" si="14"/>
        <v>0.05769230769</v>
      </c>
    </row>
    <row r="370">
      <c r="A370" s="4" t="s">
        <v>421</v>
      </c>
      <c r="B370" s="4" t="s">
        <v>400</v>
      </c>
      <c r="C370" s="4" t="s">
        <v>91</v>
      </c>
      <c r="D370" s="6">
        <v>114.0</v>
      </c>
      <c r="E370" s="6">
        <v>26.0</v>
      </c>
      <c r="F370" s="6">
        <v>26.0</v>
      </c>
      <c r="G370" s="6">
        <v>114.0</v>
      </c>
      <c r="H370" s="6">
        <v>1.0</v>
      </c>
      <c r="I370" s="6">
        <v>5.0</v>
      </c>
      <c r="J370" s="6">
        <v>71.0</v>
      </c>
      <c r="K370" s="6">
        <v>249.0</v>
      </c>
      <c r="L370" s="4" t="s">
        <v>97</v>
      </c>
      <c r="M370" s="6">
        <v>285.0</v>
      </c>
      <c r="N370" s="6">
        <v>40.0</v>
      </c>
      <c r="O370" s="6">
        <v>300.0</v>
      </c>
      <c r="P370" s="6">
        <v>100.0</v>
      </c>
      <c r="Q370" s="6">
        <v>1.0</v>
      </c>
      <c r="R370" s="6">
        <v>9.0</v>
      </c>
      <c r="S370" s="7"/>
      <c r="T370" s="6">
        <v>6.0</v>
      </c>
      <c r="U370" s="6">
        <v>1757.0</v>
      </c>
      <c r="V370" s="7"/>
      <c r="W370" s="7"/>
      <c r="X370" s="8">
        <f t="shared" si="1"/>
        <v>0.4</v>
      </c>
      <c r="Y370" s="9">
        <f t="shared" si="2"/>
        <v>140</v>
      </c>
      <c r="Z370" s="8">
        <f t="shared" si="3"/>
        <v>1.538461538</v>
      </c>
      <c r="AA370" s="8">
        <f t="shared" si="4"/>
        <v>3.846153846</v>
      </c>
      <c r="AB370" s="8">
        <f t="shared" si="5"/>
        <v>0.2307692308</v>
      </c>
      <c r="AC370" s="8">
        <f t="shared" si="6"/>
        <v>8</v>
      </c>
      <c r="AD370" s="8">
        <f t="shared" si="7"/>
        <v>20</v>
      </c>
      <c r="AE370" s="8">
        <f t="shared" si="8"/>
        <v>1.2</v>
      </c>
      <c r="AF370" s="8">
        <f t="shared" si="9"/>
        <v>40</v>
      </c>
      <c r="AG370" s="8">
        <f t="shared" si="10"/>
        <v>100</v>
      </c>
      <c r="AH370" s="8">
        <f t="shared" si="11"/>
        <v>6</v>
      </c>
      <c r="AI370" s="10">
        <f t="shared" si="12"/>
        <v>0.5633802817</v>
      </c>
      <c r="AJ370" s="11">
        <f t="shared" si="13"/>
        <v>1.408450704</v>
      </c>
      <c r="AK370" s="12">
        <f t="shared" si="14"/>
        <v>0.08450704225</v>
      </c>
    </row>
    <row r="371">
      <c r="A371" s="4" t="s">
        <v>421</v>
      </c>
      <c r="B371" s="4" t="s">
        <v>400</v>
      </c>
      <c r="C371" s="4" t="s">
        <v>92</v>
      </c>
      <c r="D371" s="6">
        <v>114.0</v>
      </c>
      <c r="E371" s="6">
        <v>26.0</v>
      </c>
      <c r="F371" s="6">
        <v>26.0</v>
      </c>
      <c r="G371" s="6">
        <v>114.0</v>
      </c>
      <c r="H371" s="6">
        <v>2.0</v>
      </c>
      <c r="I371" s="6">
        <v>5.0</v>
      </c>
      <c r="J371" s="6">
        <v>71.0</v>
      </c>
      <c r="K371" s="6">
        <v>266.0</v>
      </c>
      <c r="L371" s="4" t="s">
        <v>97</v>
      </c>
      <c r="M371" s="6">
        <v>219.0</v>
      </c>
      <c r="N371" s="6">
        <v>100.0</v>
      </c>
      <c r="O371" s="6">
        <v>1134.0</v>
      </c>
      <c r="P371" s="6">
        <v>75.0</v>
      </c>
      <c r="Q371" s="6">
        <v>1.0</v>
      </c>
      <c r="R371" s="6">
        <v>9.0</v>
      </c>
      <c r="S371" s="7"/>
      <c r="T371" s="6">
        <v>6.0</v>
      </c>
      <c r="U371" s="6">
        <v>759.0</v>
      </c>
      <c r="V371" s="7"/>
      <c r="W371" s="7"/>
      <c r="X371" s="8">
        <f t="shared" si="1"/>
        <v>1.333333333</v>
      </c>
      <c r="Y371" s="9">
        <f t="shared" si="2"/>
        <v>175</v>
      </c>
      <c r="Z371" s="8">
        <f t="shared" si="3"/>
        <v>3.846153846</v>
      </c>
      <c r="AA371" s="8">
        <f t="shared" si="4"/>
        <v>2.884615385</v>
      </c>
      <c r="AB371" s="8">
        <f t="shared" si="5"/>
        <v>0.2307692308</v>
      </c>
      <c r="AC371" s="8">
        <f t="shared" si="6"/>
        <v>20</v>
      </c>
      <c r="AD371" s="8">
        <f t="shared" si="7"/>
        <v>15</v>
      </c>
      <c r="AE371" s="8">
        <f t="shared" si="8"/>
        <v>1.2</v>
      </c>
      <c r="AF371" s="8">
        <f t="shared" si="9"/>
        <v>50</v>
      </c>
      <c r="AG371" s="8">
        <f t="shared" si="10"/>
        <v>37.5</v>
      </c>
      <c r="AH371" s="8">
        <f t="shared" si="11"/>
        <v>3</v>
      </c>
      <c r="AI371" s="10">
        <f t="shared" si="12"/>
        <v>1.408450704</v>
      </c>
      <c r="AJ371" s="11">
        <f t="shared" si="13"/>
        <v>1.056338028</v>
      </c>
      <c r="AK371" s="12">
        <f t="shared" si="14"/>
        <v>0.08450704225</v>
      </c>
    </row>
    <row r="372">
      <c r="A372" s="4" t="s">
        <v>422</v>
      </c>
      <c r="B372" s="4" t="s">
        <v>400</v>
      </c>
      <c r="C372" s="4" t="s">
        <v>49</v>
      </c>
      <c r="D372" s="6">
        <v>153.0</v>
      </c>
      <c r="E372" s="6">
        <v>35.0</v>
      </c>
      <c r="F372" s="6">
        <v>35.0</v>
      </c>
      <c r="G372" s="6">
        <v>153.0</v>
      </c>
      <c r="H372" s="6">
        <v>1.0</v>
      </c>
      <c r="I372" s="6">
        <v>6.0</v>
      </c>
      <c r="J372" s="6">
        <v>95.0</v>
      </c>
      <c r="K372" s="6">
        <v>213.0</v>
      </c>
      <c r="L372" s="4" t="s">
        <v>97</v>
      </c>
      <c r="M372" s="6">
        <v>210.0</v>
      </c>
      <c r="N372" s="6">
        <v>75.0</v>
      </c>
      <c r="O372" s="6">
        <v>450.0</v>
      </c>
      <c r="P372" s="6">
        <v>53.0</v>
      </c>
      <c r="Q372" s="6">
        <v>2.0</v>
      </c>
      <c r="R372" s="6">
        <v>12.0</v>
      </c>
      <c r="S372" s="7"/>
      <c r="T372" s="6">
        <v>14.0</v>
      </c>
      <c r="U372" s="6">
        <v>1968.0</v>
      </c>
      <c r="V372" s="7"/>
      <c r="W372" s="7"/>
      <c r="X372" s="8">
        <f t="shared" si="1"/>
        <v>1.41509434</v>
      </c>
      <c r="Y372" s="9">
        <f t="shared" si="2"/>
        <v>128</v>
      </c>
      <c r="Z372" s="8">
        <f t="shared" si="3"/>
        <v>2.142857143</v>
      </c>
      <c r="AA372" s="8">
        <f t="shared" si="4"/>
        <v>1.514285714</v>
      </c>
      <c r="AB372" s="8">
        <f t="shared" si="5"/>
        <v>0.4</v>
      </c>
      <c r="AC372" s="8">
        <f t="shared" si="6"/>
        <v>12.5</v>
      </c>
      <c r="AD372" s="8">
        <f t="shared" si="7"/>
        <v>8.833333333</v>
      </c>
      <c r="AE372" s="8">
        <f t="shared" si="8"/>
        <v>2.333333333</v>
      </c>
      <c r="AF372" s="8">
        <f t="shared" si="9"/>
        <v>75</v>
      </c>
      <c r="AG372" s="8">
        <f t="shared" si="10"/>
        <v>53</v>
      </c>
      <c r="AH372" s="8">
        <f t="shared" si="11"/>
        <v>14</v>
      </c>
      <c r="AI372" s="10">
        <f t="shared" si="12"/>
        <v>0.7894736842</v>
      </c>
      <c r="AJ372" s="11">
        <f t="shared" si="13"/>
        <v>0.5578947368</v>
      </c>
      <c r="AK372" s="12">
        <f t="shared" si="14"/>
        <v>0.1473684211</v>
      </c>
    </row>
    <row r="373">
      <c r="A373" s="4" t="s">
        <v>423</v>
      </c>
      <c r="B373" s="4" t="s">
        <v>400</v>
      </c>
      <c r="C373" s="4" t="s">
        <v>171</v>
      </c>
      <c r="D373" s="6">
        <v>101.0</v>
      </c>
      <c r="E373" s="6">
        <v>24.0</v>
      </c>
      <c r="F373" s="6">
        <v>24.0</v>
      </c>
      <c r="G373" s="6">
        <v>101.0</v>
      </c>
      <c r="H373" s="6">
        <v>1.0</v>
      </c>
      <c r="I373" s="6">
        <v>4.0</v>
      </c>
      <c r="J373" s="6">
        <v>62.0</v>
      </c>
      <c r="K373" s="6">
        <v>320.0</v>
      </c>
      <c r="L373" s="4" t="s">
        <v>97</v>
      </c>
      <c r="M373" s="6">
        <v>210.0</v>
      </c>
      <c r="N373" s="6">
        <v>50.0</v>
      </c>
      <c r="O373" s="6">
        <v>200.0</v>
      </c>
      <c r="P373" s="6">
        <v>53.0</v>
      </c>
      <c r="Q373" s="6">
        <v>0.0</v>
      </c>
      <c r="R373" s="6">
        <v>3.0</v>
      </c>
      <c r="S373" s="7"/>
      <c r="T373" s="6">
        <v>12.0</v>
      </c>
      <c r="U373" s="6">
        <v>1054.0</v>
      </c>
      <c r="V373" s="7"/>
      <c r="W373" s="7"/>
      <c r="X373" s="8">
        <f t="shared" si="1"/>
        <v>0.9433962264</v>
      </c>
      <c r="Y373" s="9">
        <f t="shared" si="2"/>
        <v>103</v>
      </c>
      <c r="Z373" s="8">
        <f t="shared" si="3"/>
        <v>2.083333333</v>
      </c>
      <c r="AA373" s="8">
        <f t="shared" si="4"/>
        <v>2.208333333</v>
      </c>
      <c r="AB373" s="8">
        <f t="shared" si="5"/>
        <v>0.5</v>
      </c>
      <c r="AC373" s="8">
        <f t="shared" si="6"/>
        <v>12.5</v>
      </c>
      <c r="AD373" s="8">
        <f t="shared" si="7"/>
        <v>13.25</v>
      </c>
      <c r="AE373" s="8">
        <f t="shared" si="8"/>
        <v>3</v>
      </c>
      <c r="AF373" s="8">
        <f t="shared" si="9"/>
        <v>50</v>
      </c>
      <c r="AG373" s="8">
        <f t="shared" si="10"/>
        <v>53</v>
      </c>
      <c r="AH373" s="8">
        <f t="shared" si="11"/>
        <v>12</v>
      </c>
      <c r="AI373" s="10">
        <f t="shared" si="12"/>
        <v>0.8064516129</v>
      </c>
      <c r="AJ373" s="11">
        <f t="shared" si="13"/>
        <v>0.8548387097</v>
      </c>
      <c r="AK373" s="12">
        <f t="shared" si="14"/>
        <v>0.1935483871</v>
      </c>
    </row>
    <row r="374">
      <c r="A374" s="4" t="s">
        <v>424</v>
      </c>
      <c r="B374" s="4" t="s">
        <v>400</v>
      </c>
      <c r="C374" s="4" t="s">
        <v>92</v>
      </c>
      <c r="D374" s="6">
        <v>130.0</v>
      </c>
      <c r="E374" s="6">
        <v>30.0</v>
      </c>
      <c r="F374" s="6">
        <v>30.0</v>
      </c>
      <c r="G374" s="6">
        <v>130.0</v>
      </c>
      <c r="H374" s="6">
        <v>2.0</v>
      </c>
      <c r="I374" s="6">
        <v>5.0</v>
      </c>
      <c r="J374" s="6">
        <v>80.0</v>
      </c>
      <c r="K374" s="6">
        <v>303.0</v>
      </c>
      <c r="L374" s="4" t="s">
        <v>97</v>
      </c>
      <c r="M374" s="6">
        <v>270.0</v>
      </c>
      <c r="N374" s="6">
        <v>100.0</v>
      </c>
      <c r="O374" s="6">
        <v>500.0</v>
      </c>
      <c r="P374" s="6">
        <v>73.0</v>
      </c>
      <c r="Q374" s="6">
        <v>2.0</v>
      </c>
      <c r="R374" s="6">
        <v>2.0</v>
      </c>
      <c r="S374" s="7"/>
      <c r="T374" s="6">
        <v>7.0</v>
      </c>
      <c r="U374" s="6">
        <v>1617.0</v>
      </c>
      <c r="V374" s="7"/>
      <c r="W374" s="7"/>
      <c r="X374" s="8">
        <f t="shared" si="1"/>
        <v>1.369863014</v>
      </c>
      <c r="Y374" s="9">
        <f t="shared" si="2"/>
        <v>173</v>
      </c>
      <c r="Z374" s="8">
        <f t="shared" si="3"/>
        <v>3.333333333</v>
      </c>
      <c r="AA374" s="8">
        <f t="shared" si="4"/>
        <v>2.433333333</v>
      </c>
      <c r="AB374" s="8">
        <f t="shared" si="5"/>
        <v>0.2333333333</v>
      </c>
      <c r="AC374" s="8">
        <f t="shared" si="6"/>
        <v>20</v>
      </c>
      <c r="AD374" s="8">
        <f t="shared" si="7"/>
        <v>14.6</v>
      </c>
      <c r="AE374" s="8">
        <f t="shared" si="8"/>
        <v>1.4</v>
      </c>
      <c r="AF374" s="8">
        <f t="shared" si="9"/>
        <v>50</v>
      </c>
      <c r="AG374" s="8">
        <f t="shared" si="10"/>
        <v>36.5</v>
      </c>
      <c r="AH374" s="8">
        <f t="shared" si="11"/>
        <v>3.5</v>
      </c>
      <c r="AI374" s="10">
        <f t="shared" si="12"/>
        <v>1.25</v>
      </c>
      <c r="AJ374" s="11">
        <f t="shared" si="13"/>
        <v>0.9125</v>
      </c>
      <c r="AK374" s="12">
        <f t="shared" si="14"/>
        <v>0.0875</v>
      </c>
    </row>
    <row r="375">
      <c r="A375" s="4" t="s">
        <v>424</v>
      </c>
      <c r="B375" s="4" t="s">
        <v>400</v>
      </c>
      <c r="C375" s="4" t="s">
        <v>91</v>
      </c>
      <c r="D375" s="6">
        <v>114.0</v>
      </c>
      <c r="E375" s="6">
        <v>26.0</v>
      </c>
      <c r="F375" s="6">
        <v>26.0</v>
      </c>
      <c r="G375" s="6">
        <v>114.0</v>
      </c>
      <c r="H375" s="6">
        <v>1.0</v>
      </c>
      <c r="I375" s="6">
        <v>5.0</v>
      </c>
      <c r="J375" s="6">
        <v>71.0</v>
      </c>
      <c r="K375" s="6">
        <v>276.0</v>
      </c>
      <c r="L375" s="4" t="s">
        <v>97</v>
      </c>
      <c r="M375" s="6">
        <v>270.0</v>
      </c>
      <c r="N375" s="6">
        <v>50.0</v>
      </c>
      <c r="O375" s="6">
        <v>250.0</v>
      </c>
      <c r="P375" s="6">
        <v>73.0</v>
      </c>
      <c r="Q375" s="6">
        <v>2.0</v>
      </c>
      <c r="R375" s="6">
        <v>2.0</v>
      </c>
      <c r="S375" s="7"/>
      <c r="T375" s="6">
        <v>7.0</v>
      </c>
      <c r="U375" s="6">
        <v>1546.0</v>
      </c>
      <c r="V375" s="7"/>
      <c r="W375" s="7"/>
      <c r="X375" s="8">
        <f t="shared" si="1"/>
        <v>0.6849315068</v>
      </c>
      <c r="Y375" s="9">
        <f t="shared" si="2"/>
        <v>123</v>
      </c>
      <c r="Z375" s="8">
        <f t="shared" si="3"/>
        <v>1.923076923</v>
      </c>
      <c r="AA375" s="8">
        <f t="shared" si="4"/>
        <v>2.807692308</v>
      </c>
      <c r="AB375" s="8">
        <f t="shared" si="5"/>
        <v>0.2692307692</v>
      </c>
      <c r="AC375" s="8">
        <f t="shared" si="6"/>
        <v>10</v>
      </c>
      <c r="AD375" s="8">
        <f t="shared" si="7"/>
        <v>14.6</v>
      </c>
      <c r="AE375" s="8">
        <f t="shared" si="8"/>
        <v>1.4</v>
      </c>
      <c r="AF375" s="8">
        <f t="shared" si="9"/>
        <v>50</v>
      </c>
      <c r="AG375" s="8">
        <f t="shared" si="10"/>
        <v>73</v>
      </c>
      <c r="AH375" s="8">
        <f t="shared" si="11"/>
        <v>7</v>
      </c>
      <c r="AI375" s="10">
        <f t="shared" si="12"/>
        <v>0.7042253521</v>
      </c>
      <c r="AJ375" s="11">
        <f t="shared" si="13"/>
        <v>1.028169014</v>
      </c>
      <c r="AK375" s="12">
        <f t="shared" si="14"/>
        <v>0.0985915493</v>
      </c>
    </row>
    <row r="376">
      <c r="A376" s="4" t="s">
        <v>425</v>
      </c>
      <c r="B376" s="4" t="s">
        <v>400</v>
      </c>
      <c r="C376" s="4" t="s">
        <v>91</v>
      </c>
      <c r="D376" s="6">
        <v>148.0</v>
      </c>
      <c r="E376" s="6">
        <v>34.0</v>
      </c>
      <c r="F376" s="6">
        <v>34.0</v>
      </c>
      <c r="G376" s="6">
        <v>148.0</v>
      </c>
      <c r="H376" s="6">
        <v>1.0</v>
      </c>
      <c r="I376" s="6">
        <v>6.0</v>
      </c>
      <c r="J376" s="6">
        <v>124.0</v>
      </c>
      <c r="K376" s="6">
        <v>295.0</v>
      </c>
      <c r="L376" s="4" t="s">
        <v>97</v>
      </c>
      <c r="M376" s="6">
        <v>270.0</v>
      </c>
      <c r="N376" s="6">
        <v>100.0</v>
      </c>
      <c r="O376" s="6">
        <v>250.0</v>
      </c>
      <c r="P376" s="6">
        <v>93.0</v>
      </c>
      <c r="Q376" s="6">
        <v>2.0</v>
      </c>
      <c r="R376" s="6">
        <v>2.0</v>
      </c>
      <c r="S376" s="7"/>
      <c r="T376" s="6">
        <v>7.0</v>
      </c>
      <c r="U376" s="6">
        <v>1546.0</v>
      </c>
      <c r="V376" s="7"/>
      <c r="W376" s="7"/>
      <c r="X376" s="8">
        <f t="shared" si="1"/>
        <v>1.075268817</v>
      </c>
      <c r="Y376" s="9">
        <f t="shared" si="2"/>
        <v>193</v>
      </c>
      <c r="Z376" s="8">
        <f t="shared" si="3"/>
        <v>2.941176471</v>
      </c>
      <c r="AA376" s="8">
        <f t="shared" si="4"/>
        <v>2.735294118</v>
      </c>
      <c r="AB376" s="8">
        <f t="shared" si="5"/>
        <v>0.2058823529</v>
      </c>
      <c r="AC376" s="8">
        <f t="shared" si="6"/>
        <v>16.66666667</v>
      </c>
      <c r="AD376" s="8">
        <f t="shared" si="7"/>
        <v>15.5</v>
      </c>
      <c r="AE376" s="8">
        <f t="shared" si="8"/>
        <v>1.166666667</v>
      </c>
      <c r="AF376" s="8">
        <f t="shared" si="9"/>
        <v>100</v>
      </c>
      <c r="AG376" s="8">
        <f t="shared" si="10"/>
        <v>93</v>
      </c>
      <c r="AH376" s="8">
        <f t="shared" si="11"/>
        <v>7</v>
      </c>
      <c r="AI376" s="10">
        <f t="shared" si="12"/>
        <v>0.8064516129</v>
      </c>
      <c r="AJ376" s="11">
        <f t="shared" si="13"/>
        <v>0.75</v>
      </c>
      <c r="AK376" s="12">
        <f t="shared" si="14"/>
        <v>0.0564516129</v>
      </c>
    </row>
    <row r="377">
      <c r="A377" s="4" t="s">
        <v>426</v>
      </c>
      <c r="B377" s="4" t="s">
        <v>400</v>
      </c>
      <c r="C377" s="4" t="s">
        <v>91</v>
      </c>
      <c r="D377" s="6">
        <v>120.0</v>
      </c>
      <c r="E377" s="6">
        <v>27.0</v>
      </c>
      <c r="F377" s="6">
        <v>27.0</v>
      </c>
      <c r="G377" s="6">
        <v>120.0</v>
      </c>
      <c r="H377" s="6">
        <v>1.0</v>
      </c>
      <c r="I377" s="6">
        <v>5.0</v>
      </c>
      <c r="J377" s="6">
        <v>75.0</v>
      </c>
      <c r="K377" s="6">
        <v>276.0</v>
      </c>
      <c r="L377" s="4" t="s">
        <v>97</v>
      </c>
      <c r="M377" s="6">
        <v>359.0</v>
      </c>
      <c r="N377" s="6">
        <v>50.0</v>
      </c>
      <c r="O377" s="6">
        <v>250.0</v>
      </c>
      <c r="P377" s="6">
        <v>73.0</v>
      </c>
      <c r="Q377" s="6">
        <v>2.0</v>
      </c>
      <c r="R377" s="6">
        <v>2.0</v>
      </c>
      <c r="S377" s="7"/>
      <c r="T377" s="6">
        <v>7.0</v>
      </c>
      <c r="U377" s="6">
        <v>1546.0</v>
      </c>
      <c r="V377" s="7"/>
      <c r="W377" s="7"/>
      <c r="X377" s="8">
        <f t="shared" si="1"/>
        <v>0.6849315068</v>
      </c>
      <c r="Y377" s="9">
        <f t="shared" si="2"/>
        <v>123</v>
      </c>
      <c r="Z377" s="8">
        <f t="shared" si="3"/>
        <v>1.851851852</v>
      </c>
      <c r="AA377" s="8">
        <f t="shared" si="4"/>
        <v>2.703703704</v>
      </c>
      <c r="AB377" s="8">
        <f t="shared" si="5"/>
        <v>0.2592592593</v>
      </c>
      <c r="AC377" s="8">
        <f t="shared" si="6"/>
        <v>10</v>
      </c>
      <c r="AD377" s="8">
        <f t="shared" si="7"/>
        <v>14.6</v>
      </c>
      <c r="AE377" s="8">
        <f t="shared" si="8"/>
        <v>1.4</v>
      </c>
      <c r="AF377" s="8">
        <f t="shared" si="9"/>
        <v>50</v>
      </c>
      <c r="AG377" s="8">
        <f t="shared" si="10"/>
        <v>73</v>
      </c>
      <c r="AH377" s="8">
        <f t="shared" si="11"/>
        <v>7</v>
      </c>
      <c r="AI377" s="10">
        <f t="shared" si="12"/>
        <v>0.6666666667</v>
      </c>
      <c r="AJ377" s="11">
        <f t="shared" si="13"/>
        <v>0.9733333333</v>
      </c>
      <c r="AK377" s="12">
        <f t="shared" si="14"/>
        <v>0.09333333333</v>
      </c>
    </row>
    <row r="378">
      <c r="A378" s="4" t="s">
        <v>97</v>
      </c>
      <c r="B378" s="4" t="s">
        <v>400</v>
      </c>
      <c r="C378" s="4" t="s">
        <v>70</v>
      </c>
      <c r="D378" s="6">
        <v>76.0</v>
      </c>
      <c r="E378" s="6">
        <v>35.0</v>
      </c>
      <c r="F378" s="6">
        <v>17.0</v>
      </c>
      <c r="G378" s="6">
        <v>304.0</v>
      </c>
      <c r="H378" s="6">
        <v>0.0</v>
      </c>
      <c r="I378" s="6">
        <v>4.0</v>
      </c>
      <c r="J378" s="6">
        <v>94.0</v>
      </c>
      <c r="K378" s="6">
        <v>307.0</v>
      </c>
      <c r="L378" s="4" t="s">
        <v>97</v>
      </c>
      <c r="M378" s="6">
        <v>195.0</v>
      </c>
      <c r="N378" s="6">
        <v>75.0</v>
      </c>
      <c r="O378" s="6">
        <v>300.0</v>
      </c>
      <c r="P378" s="6">
        <v>73.0</v>
      </c>
      <c r="Q378" s="6">
        <v>0.0</v>
      </c>
      <c r="R378" s="6">
        <v>6.0</v>
      </c>
      <c r="S378" s="7"/>
      <c r="T378" s="6">
        <v>7.0</v>
      </c>
      <c r="U378" s="6">
        <v>1546.0</v>
      </c>
      <c r="V378" s="7"/>
      <c r="W378" s="7"/>
      <c r="X378" s="8">
        <f t="shared" si="1"/>
        <v>1.02739726</v>
      </c>
      <c r="Y378" s="9">
        <f t="shared" si="2"/>
        <v>148</v>
      </c>
      <c r="Z378" s="8">
        <f t="shared" si="3"/>
        <v>2.142857143</v>
      </c>
      <c r="AA378" s="8">
        <f t="shared" si="4"/>
        <v>2.085714286</v>
      </c>
      <c r="AB378" s="8">
        <f t="shared" si="5"/>
        <v>0.2</v>
      </c>
      <c r="AC378" s="8">
        <f t="shared" si="6"/>
        <v>18.75</v>
      </c>
      <c r="AD378" s="8">
        <f t="shared" si="7"/>
        <v>18.25</v>
      </c>
      <c r="AE378" s="8">
        <f t="shared" si="8"/>
        <v>1.75</v>
      </c>
      <c r="AF378" s="8" t="str">
        <f t="shared" si="9"/>
        <v>#DIV/0!</v>
      </c>
      <c r="AG378" s="8" t="str">
        <f t="shared" si="10"/>
        <v>#DIV/0!</v>
      </c>
      <c r="AH378" s="8" t="str">
        <f t="shared" si="11"/>
        <v>#DIV/0!</v>
      </c>
      <c r="AI378" s="10">
        <f t="shared" si="12"/>
        <v>0.7978723404</v>
      </c>
      <c r="AJ378" s="11">
        <f t="shared" si="13"/>
        <v>0.7765957447</v>
      </c>
      <c r="AK378" s="12">
        <f t="shared" si="14"/>
        <v>0.07446808511</v>
      </c>
    </row>
    <row r="379">
      <c r="A379" s="4" t="s">
        <v>427</v>
      </c>
      <c r="B379" s="4" t="s">
        <v>400</v>
      </c>
      <c r="C379" s="4" t="s">
        <v>70</v>
      </c>
      <c r="D379" s="6">
        <v>90.0</v>
      </c>
      <c r="E379" s="6">
        <v>43.0</v>
      </c>
      <c r="F379" s="6">
        <v>21.0</v>
      </c>
      <c r="G379" s="6">
        <v>362.0</v>
      </c>
      <c r="H379" s="6">
        <v>0.0</v>
      </c>
      <c r="I379" s="6">
        <v>5.0</v>
      </c>
      <c r="J379" s="6">
        <v>112.0</v>
      </c>
      <c r="K379" s="6">
        <v>337.0</v>
      </c>
      <c r="L379" s="4" t="s">
        <v>97</v>
      </c>
      <c r="M379" s="6">
        <v>195.0</v>
      </c>
      <c r="N379" s="6">
        <v>75.0</v>
      </c>
      <c r="O379" s="6">
        <v>400.0</v>
      </c>
      <c r="P379" s="6">
        <v>100.0</v>
      </c>
      <c r="Q379" s="6">
        <v>1.0</v>
      </c>
      <c r="R379" s="6">
        <v>1.0</v>
      </c>
      <c r="S379" s="7"/>
      <c r="T379" s="6">
        <v>12.0</v>
      </c>
      <c r="U379" s="6">
        <v>1125.0</v>
      </c>
      <c r="V379" s="7"/>
      <c r="W379" s="7"/>
      <c r="X379" s="8">
        <f t="shared" si="1"/>
        <v>0.75</v>
      </c>
      <c r="Y379" s="9">
        <f t="shared" si="2"/>
        <v>175</v>
      </c>
      <c r="Z379" s="8">
        <f t="shared" si="3"/>
        <v>1.744186047</v>
      </c>
      <c r="AA379" s="8">
        <f t="shared" si="4"/>
        <v>2.325581395</v>
      </c>
      <c r="AB379" s="8">
        <f t="shared" si="5"/>
        <v>0.2790697674</v>
      </c>
      <c r="AC379" s="8">
        <f t="shared" si="6"/>
        <v>15</v>
      </c>
      <c r="AD379" s="8">
        <f t="shared" si="7"/>
        <v>20</v>
      </c>
      <c r="AE379" s="8">
        <f t="shared" si="8"/>
        <v>2.4</v>
      </c>
      <c r="AF379" s="8" t="str">
        <f t="shared" si="9"/>
        <v>#DIV/0!</v>
      </c>
      <c r="AG379" s="8" t="str">
        <f t="shared" si="10"/>
        <v>#DIV/0!</v>
      </c>
      <c r="AH379" s="8" t="str">
        <f t="shared" si="11"/>
        <v>#DIV/0!</v>
      </c>
      <c r="AI379" s="10">
        <f t="shared" si="12"/>
        <v>0.6696428571</v>
      </c>
      <c r="AJ379" s="11">
        <f t="shared" si="13"/>
        <v>0.8928571429</v>
      </c>
      <c r="AK379" s="12">
        <f t="shared" si="14"/>
        <v>0.1071428571</v>
      </c>
    </row>
    <row r="380">
      <c r="A380" s="4" t="s">
        <v>428</v>
      </c>
      <c r="B380" s="4" t="s">
        <v>400</v>
      </c>
      <c r="C380" s="4" t="s">
        <v>56</v>
      </c>
      <c r="D380" s="6">
        <v>132.0</v>
      </c>
      <c r="E380" s="6">
        <v>30.0</v>
      </c>
      <c r="F380" s="6">
        <v>30.0</v>
      </c>
      <c r="G380" s="6">
        <v>132.0</v>
      </c>
      <c r="H380" s="6">
        <v>1.0</v>
      </c>
      <c r="I380" s="6">
        <v>6.0</v>
      </c>
      <c r="J380" s="6">
        <v>86.0</v>
      </c>
      <c r="K380" s="6">
        <v>384.0</v>
      </c>
      <c r="L380" s="4" t="s">
        <v>97</v>
      </c>
      <c r="M380" s="6">
        <v>225.0</v>
      </c>
      <c r="N380" s="6">
        <v>75.0</v>
      </c>
      <c r="O380" s="6">
        <v>400.0</v>
      </c>
      <c r="P380" s="6">
        <v>40.0</v>
      </c>
      <c r="Q380" s="6">
        <v>0.0</v>
      </c>
      <c r="R380" s="6">
        <v>8.0</v>
      </c>
      <c r="S380" s="7"/>
      <c r="T380" s="6">
        <v>9.0</v>
      </c>
      <c r="U380" s="6">
        <v>1406.0</v>
      </c>
      <c r="V380" s="7"/>
      <c r="W380" s="7"/>
      <c r="X380" s="8">
        <f t="shared" si="1"/>
        <v>1.875</v>
      </c>
      <c r="Y380" s="9">
        <f t="shared" si="2"/>
        <v>115</v>
      </c>
      <c r="Z380" s="8">
        <f t="shared" si="3"/>
        <v>2.5</v>
      </c>
      <c r="AA380" s="8">
        <f t="shared" si="4"/>
        <v>1.333333333</v>
      </c>
      <c r="AB380" s="8">
        <f t="shared" si="5"/>
        <v>0.3</v>
      </c>
      <c r="AC380" s="8">
        <f t="shared" si="6"/>
        <v>12.5</v>
      </c>
      <c r="AD380" s="8">
        <f t="shared" si="7"/>
        <v>6.666666667</v>
      </c>
      <c r="AE380" s="8">
        <f t="shared" si="8"/>
        <v>1.5</v>
      </c>
      <c r="AF380" s="8">
        <f t="shared" si="9"/>
        <v>75</v>
      </c>
      <c r="AG380" s="8">
        <f t="shared" si="10"/>
        <v>40</v>
      </c>
      <c r="AH380" s="8">
        <f t="shared" si="11"/>
        <v>9</v>
      </c>
      <c r="AI380" s="10">
        <f t="shared" si="12"/>
        <v>0.8720930233</v>
      </c>
      <c r="AJ380" s="11">
        <f t="shared" si="13"/>
        <v>0.4651162791</v>
      </c>
      <c r="AK380" s="12">
        <f t="shared" si="14"/>
        <v>0.1046511628</v>
      </c>
    </row>
    <row r="381">
      <c r="A381" s="4" t="s">
        <v>428</v>
      </c>
      <c r="B381" s="4" t="s">
        <v>400</v>
      </c>
      <c r="C381" s="4" t="s">
        <v>92</v>
      </c>
      <c r="D381" s="6">
        <v>116.0</v>
      </c>
      <c r="E381" s="6">
        <v>26.0</v>
      </c>
      <c r="F381" s="6">
        <v>26.0</v>
      </c>
      <c r="G381" s="6">
        <v>116.0</v>
      </c>
      <c r="H381" s="6">
        <v>2.0</v>
      </c>
      <c r="I381" s="6">
        <v>5.0</v>
      </c>
      <c r="J381" s="6">
        <v>72.0</v>
      </c>
      <c r="K381" s="6">
        <v>290.0</v>
      </c>
      <c r="L381" s="4" t="s">
        <v>97</v>
      </c>
      <c r="M381" s="6">
        <v>240.0</v>
      </c>
      <c r="N381" s="6">
        <v>75.0</v>
      </c>
      <c r="O381" s="6">
        <v>400.0</v>
      </c>
      <c r="P381" s="6">
        <v>73.0</v>
      </c>
      <c r="Q381" s="6">
        <v>0.0</v>
      </c>
      <c r="R381" s="6">
        <v>8.0</v>
      </c>
      <c r="S381" s="7"/>
      <c r="T381" s="6">
        <v>9.0</v>
      </c>
      <c r="U381" s="6">
        <v>1476.0</v>
      </c>
      <c r="V381" s="7"/>
      <c r="W381" s="7"/>
      <c r="X381" s="8">
        <f t="shared" si="1"/>
        <v>1.02739726</v>
      </c>
      <c r="Y381" s="9">
        <f t="shared" si="2"/>
        <v>148</v>
      </c>
      <c r="Z381" s="8">
        <f t="shared" si="3"/>
        <v>2.884615385</v>
      </c>
      <c r="AA381" s="8">
        <f t="shared" si="4"/>
        <v>2.807692308</v>
      </c>
      <c r="AB381" s="8">
        <f t="shared" si="5"/>
        <v>0.3461538462</v>
      </c>
      <c r="AC381" s="8">
        <f t="shared" si="6"/>
        <v>15</v>
      </c>
      <c r="AD381" s="8">
        <f t="shared" si="7"/>
        <v>14.6</v>
      </c>
      <c r="AE381" s="8">
        <f t="shared" si="8"/>
        <v>1.8</v>
      </c>
      <c r="AF381" s="8">
        <f t="shared" si="9"/>
        <v>37.5</v>
      </c>
      <c r="AG381" s="8">
        <f t="shared" si="10"/>
        <v>36.5</v>
      </c>
      <c r="AH381" s="8">
        <f t="shared" si="11"/>
        <v>4.5</v>
      </c>
      <c r="AI381" s="10">
        <f t="shared" si="12"/>
        <v>1.041666667</v>
      </c>
      <c r="AJ381" s="11">
        <f t="shared" si="13"/>
        <v>1.013888889</v>
      </c>
      <c r="AK381" s="12">
        <f t="shared" si="14"/>
        <v>0.125</v>
      </c>
    </row>
    <row r="382">
      <c r="A382" s="4" t="s">
        <v>429</v>
      </c>
      <c r="B382" s="4" t="s">
        <v>400</v>
      </c>
      <c r="C382" s="4" t="s">
        <v>92</v>
      </c>
      <c r="D382" s="6">
        <v>158.0</v>
      </c>
      <c r="E382" s="6">
        <v>36.0</v>
      </c>
      <c r="F382" s="6">
        <v>36.0</v>
      </c>
      <c r="G382" s="6">
        <v>158.0</v>
      </c>
      <c r="H382" s="6">
        <v>1.0</v>
      </c>
      <c r="I382" s="6">
        <v>7.0</v>
      </c>
      <c r="J382" s="6">
        <v>139.0</v>
      </c>
      <c r="K382" s="6">
        <v>406.0</v>
      </c>
      <c r="L382" s="4" t="s">
        <v>97</v>
      </c>
      <c r="M382" s="6">
        <v>165.0</v>
      </c>
      <c r="N382" s="6">
        <v>100.0</v>
      </c>
      <c r="O382" s="6">
        <v>326.0</v>
      </c>
      <c r="P382" s="6">
        <v>57.0</v>
      </c>
      <c r="Q382" s="6">
        <v>0.0</v>
      </c>
      <c r="R382" s="6">
        <v>8.0</v>
      </c>
      <c r="S382" s="7"/>
      <c r="T382" s="6">
        <v>9.0</v>
      </c>
      <c r="U382" s="6">
        <v>939.0</v>
      </c>
      <c r="V382" s="7"/>
      <c r="W382" s="7"/>
      <c r="X382" s="8">
        <f t="shared" si="1"/>
        <v>1.754385965</v>
      </c>
      <c r="Y382" s="9">
        <f t="shared" si="2"/>
        <v>157</v>
      </c>
      <c r="Z382" s="8">
        <f t="shared" si="3"/>
        <v>2.777777778</v>
      </c>
      <c r="AA382" s="8">
        <f t="shared" si="4"/>
        <v>1.583333333</v>
      </c>
      <c r="AB382" s="8">
        <f t="shared" si="5"/>
        <v>0.25</v>
      </c>
      <c r="AC382" s="8">
        <f t="shared" si="6"/>
        <v>14.28571429</v>
      </c>
      <c r="AD382" s="8">
        <f t="shared" si="7"/>
        <v>8.142857143</v>
      </c>
      <c r="AE382" s="8">
        <f t="shared" si="8"/>
        <v>1.285714286</v>
      </c>
      <c r="AF382" s="8">
        <f t="shared" si="9"/>
        <v>100</v>
      </c>
      <c r="AG382" s="8">
        <f t="shared" si="10"/>
        <v>57</v>
      </c>
      <c r="AH382" s="8">
        <f t="shared" si="11"/>
        <v>9</v>
      </c>
      <c r="AI382" s="10">
        <f t="shared" si="12"/>
        <v>0.7194244604</v>
      </c>
      <c r="AJ382" s="11">
        <f t="shared" si="13"/>
        <v>0.4100719424</v>
      </c>
      <c r="AK382" s="12">
        <f t="shared" si="14"/>
        <v>0.06474820144</v>
      </c>
    </row>
    <row r="383">
      <c r="A383" s="4" t="s">
        <v>430</v>
      </c>
      <c r="B383" s="4" t="s">
        <v>400</v>
      </c>
      <c r="C383" s="4" t="s">
        <v>56</v>
      </c>
      <c r="D383" s="6">
        <v>148.0</v>
      </c>
      <c r="E383" s="6">
        <v>33.0</v>
      </c>
      <c r="F383" s="6">
        <v>33.0</v>
      </c>
      <c r="G383" s="6">
        <v>148.0</v>
      </c>
      <c r="H383" s="6">
        <v>1.0</v>
      </c>
      <c r="I383" s="6">
        <v>6.0</v>
      </c>
      <c r="J383" s="6">
        <v>95.0</v>
      </c>
      <c r="K383" s="6">
        <v>415.0</v>
      </c>
      <c r="L383" s="4" t="s">
        <v>97</v>
      </c>
      <c r="M383" s="6">
        <v>225.0</v>
      </c>
      <c r="N383" s="6">
        <v>75.0</v>
      </c>
      <c r="O383" s="6">
        <v>400.0</v>
      </c>
      <c r="P383" s="6">
        <v>53.0</v>
      </c>
      <c r="Q383" s="6">
        <v>1.0</v>
      </c>
      <c r="R383" s="6">
        <v>9.0</v>
      </c>
      <c r="S383" s="7"/>
      <c r="T383" s="6">
        <v>10.0</v>
      </c>
      <c r="U383" s="6">
        <v>1687.0</v>
      </c>
      <c r="V383" s="7"/>
      <c r="W383" s="7"/>
      <c r="X383" s="8">
        <f t="shared" si="1"/>
        <v>1.41509434</v>
      </c>
      <c r="Y383" s="9">
        <f t="shared" si="2"/>
        <v>128</v>
      </c>
      <c r="Z383" s="8">
        <f t="shared" si="3"/>
        <v>2.272727273</v>
      </c>
      <c r="AA383" s="8">
        <f t="shared" si="4"/>
        <v>1.606060606</v>
      </c>
      <c r="AB383" s="8">
        <f t="shared" si="5"/>
        <v>0.303030303</v>
      </c>
      <c r="AC383" s="8">
        <f t="shared" si="6"/>
        <v>12.5</v>
      </c>
      <c r="AD383" s="8">
        <f t="shared" si="7"/>
        <v>8.833333333</v>
      </c>
      <c r="AE383" s="8">
        <f t="shared" si="8"/>
        <v>1.666666667</v>
      </c>
      <c r="AF383" s="8">
        <f t="shared" si="9"/>
        <v>75</v>
      </c>
      <c r="AG383" s="8">
        <f t="shared" si="10"/>
        <v>53</v>
      </c>
      <c r="AH383" s="8">
        <f t="shared" si="11"/>
        <v>10</v>
      </c>
      <c r="AI383" s="10">
        <f t="shared" si="12"/>
        <v>0.7894736842</v>
      </c>
      <c r="AJ383" s="11">
        <f t="shared" si="13"/>
        <v>0.5578947368</v>
      </c>
      <c r="AK383" s="12">
        <f t="shared" si="14"/>
        <v>0.1052631579</v>
      </c>
    </row>
    <row r="384">
      <c r="A384" s="4" t="s">
        <v>431</v>
      </c>
      <c r="B384" s="4" t="s">
        <v>400</v>
      </c>
      <c r="C384" s="4" t="s">
        <v>56</v>
      </c>
      <c r="D384" s="6">
        <v>132.0</v>
      </c>
      <c r="E384" s="6">
        <v>30.0</v>
      </c>
      <c r="F384" s="6">
        <v>30.0</v>
      </c>
      <c r="G384" s="6">
        <v>132.0</v>
      </c>
      <c r="H384" s="6">
        <v>1.0</v>
      </c>
      <c r="I384" s="6">
        <v>6.0</v>
      </c>
      <c r="J384" s="6">
        <v>86.0</v>
      </c>
      <c r="K384" s="6">
        <v>384.0</v>
      </c>
      <c r="L384" s="4" t="s">
        <v>97</v>
      </c>
      <c r="M384" s="6">
        <v>225.0</v>
      </c>
      <c r="N384" s="6">
        <v>75.0</v>
      </c>
      <c r="O384" s="6">
        <v>400.0</v>
      </c>
      <c r="P384" s="6">
        <v>70.0</v>
      </c>
      <c r="Q384" s="6">
        <v>0.0</v>
      </c>
      <c r="R384" s="6">
        <v>8.0</v>
      </c>
      <c r="S384" s="7"/>
      <c r="T384" s="6">
        <v>9.0</v>
      </c>
      <c r="U384" s="6">
        <v>1406.0</v>
      </c>
      <c r="V384" s="7"/>
      <c r="W384" s="7"/>
      <c r="X384" s="8">
        <f t="shared" si="1"/>
        <v>1.071428571</v>
      </c>
      <c r="Y384" s="9">
        <f t="shared" si="2"/>
        <v>145</v>
      </c>
      <c r="Z384" s="8">
        <f t="shared" si="3"/>
        <v>2.5</v>
      </c>
      <c r="AA384" s="8">
        <f t="shared" si="4"/>
        <v>2.333333333</v>
      </c>
      <c r="AB384" s="8">
        <f t="shared" si="5"/>
        <v>0.3</v>
      </c>
      <c r="AC384" s="8">
        <f t="shared" si="6"/>
        <v>12.5</v>
      </c>
      <c r="AD384" s="8">
        <f t="shared" si="7"/>
        <v>11.66666667</v>
      </c>
      <c r="AE384" s="8">
        <f t="shared" si="8"/>
        <v>1.5</v>
      </c>
      <c r="AF384" s="8">
        <f t="shared" si="9"/>
        <v>75</v>
      </c>
      <c r="AG384" s="8">
        <f t="shared" si="10"/>
        <v>70</v>
      </c>
      <c r="AH384" s="8">
        <f t="shared" si="11"/>
        <v>9</v>
      </c>
      <c r="AI384" s="10">
        <f t="shared" si="12"/>
        <v>0.8720930233</v>
      </c>
      <c r="AJ384" s="11">
        <f t="shared" si="13"/>
        <v>0.8139534884</v>
      </c>
      <c r="AK384" s="12">
        <f t="shared" si="14"/>
        <v>0.1046511628</v>
      </c>
    </row>
    <row r="385">
      <c r="A385" s="4" t="s">
        <v>432</v>
      </c>
      <c r="B385" s="4" t="s">
        <v>400</v>
      </c>
      <c r="C385" s="4" t="s">
        <v>56</v>
      </c>
      <c r="D385" s="6">
        <v>141.0</v>
      </c>
      <c r="E385" s="6">
        <v>32.0</v>
      </c>
      <c r="F385" s="6">
        <v>32.0</v>
      </c>
      <c r="G385" s="6">
        <v>141.0</v>
      </c>
      <c r="H385" s="6">
        <v>1.0</v>
      </c>
      <c r="I385" s="6">
        <v>6.0</v>
      </c>
      <c r="J385" s="6">
        <v>90.0</v>
      </c>
      <c r="K385" s="6">
        <v>240.0</v>
      </c>
      <c r="L385" s="4" t="s">
        <v>97</v>
      </c>
      <c r="M385" s="6">
        <v>225.0</v>
      </c>
      <c r="N385" s="6">
        <v>75.0</v>
      </c>
      <c r="O385" s="6">
        <v>600.0</v>
      </c>
      <c r="P385" s="6">
        <v>60.0</v>
      </c>
      <c r="Q385" s="6">
        <v>0.0</v>
      </c>
      <c r="R385" s="6">
        <v>8.0</v>
      </c>
      <c r="S385" s="7"/>
      <c r="T385" s="6">
        <v>9.0</v>
      </c>
      <c r="U385" s="6">
        <v>1406.0</v>
      </c>
      <c r="V385" s="7"/>
      <c r="W385" s="7"/>
      <c r="X385" s="8">
        <f t="shared" si="1"/>
        <v>1.25</v>
      </c>
      <c r="Y385" s="9">
        <f t="shared" si="2"/>
        <v>135</v>
      </c>
      <c r="Z385" s="8">
        <f t="shared" si="3"/>
        <v>2.34375</v>
      </c>
      <c r="AA385" s="8">
        <f t="shared" si="4"/>
        <v>1.875</v>
      </c>
      <c r="AB385" s="8">
        <f t="shared" si="5"/>
        <v>0.28125</v>
      </c>
      <c r="AC385" s="8">
        <f t="shared" si="6"/>
        <v>12.5</v>
      </c>
      <c r="AD385" s="8">
        <f t="shared" si="7"/>
        <v>10</v>
      </c>
      <c r="AE385" s="8">
        <f t="shared" si="8"/>
        <v>1.5</v>
      </c>
      <c r="AF385" s="8">
        <f t="shared" si="9"/>
        <v>75</v>
      </c>
      <c r="AG385" s="8">
        <f t="shared" si="10"/>
        <v>60</v>
      </c>
      <c r="AH385" s="8">
        <f t="shared" si="11"/>
        <v>9</v>
      </c>
      <c r="AI385" s="10">
        <f t="shared" si="12"/>
        <v>0.8333333333</v>
      </c>
      <c r="AJ385" s="11">
        <f t="shared" si="13"/>
        <v>0.6666666667</v>
      </c>
      <c r="AK385" s="12">
        <f t="shared" si="14"/>
        <v>0.1</v>
      </c>
    </row>
    <row r="386">
      <c r="A386" s="4" t="s">
        <v>433</v>
      </c>
      <c r="B386" s="4" t="s">
        <v>400</v>
      </c>
      <c r="C386" s="4" t="s">
        <v>56</v>
      </c>
      <c r="D386" s="6">
        <v>190.0</v>
      </c>
      <c r="E386" s="6">
        <v>44.0</v>
      </c>
      <c r="F386" s="6">
        <v>44.0</v>
      </c>
      <c r="G386" s="6">
        <v>190.0</v>
      </c>
      <c r="H386" s="6">
        <v>1.0</v>
      </c>
      <c r="I386" s="6">
        <v>8.0</v>
      </c>
      <c r="J386" s="6">
        <v>115.0</v>
      </c>
      <c r="K386" s="6">
        <v>240.0</v>
      </c>
      <c r="L386" s="4" t="s">
        <v>97</v>
      </c>
      <c r="M386" s="6">
        <v>240.0</v>
      </c>
      <c r="N386" s="6">
        <v>100.0</v>
      </c>
      <c r="O386" s="6">
        <v>500.0</v>
      </c>
      <c r="P386" s="6">
        <v>72.0</v>
      </c>
      <c r="Q386" s="6">
        <v>2.0</v>
      </c>
      <c r="R386" s="6">
        <v>10.0</v>
      </c>
      <c r="S386" s="7"/>
      <c r="T386" s="6">
        <v>10.0</v>
      </c>
      <c r="U386" s="6">
        <v>1828.0</v>
      </c>
      <c r="V386" s="7"/>
      <c r="W386" s="7"/>
      <c r="X386" s="8">
        <f t="shared" si="1"/>
        <v>1.388888889</v>
      </c>
      <c r="Y386" s="9">
        <f t="shared" si="2"/>
        <v>172</v>
      </c>
      <c r="Z386" s="8">
        <f t="shared" si="3"/>
        <v>2.272727273</v>
      </c>
      <c r="AA386" s="8">
        <f t="shared" si="4"/>
        <v>1.636363636</v>
      </c>
      <c r="AB386" s="8">
        <f t="shared" si="5"/>
        <v>0.2272727273</v>
      </c>
      <c r="AC386" s="8">
        <f t="shared" si="6"/>
        <v>12.5</v>
      </c>
      <c r="AD386" s="8">
        <f t="shared" si="7"/>
        <v>9</v>
      </c>
      <c r="AE386" s="8">
        <f t="shared" si="8"/>
        <v>1.25</v>
      </c>
      <c r="AF386" s="8">
        <f t="shared" si="9"/>
        <v>100</v>
      </c>
      <c r="AG386" s="8">
        <f t="shared" si="10"/>
        <v>72</v>
      </c>
      <c r="AH386" s="8">
        <f t="shared" si="11"/>
        <v>10</v>
      </c>
      <c r="AI386" s="10">
        <f t="shared" si="12"/>
        <v>0.8695652174</v>
      </c>
      <c r="AJ386" s="11">
        <f t="shared" si="13"/>
        <v>0.6260869565</v>
      </c>
      <c r="AK386" s="12">
        <f t="shared" si="14"/>
        <v>0.08695652174</v>
      </c>
    </row>
    <row r="387">
      <c r="A387" s="4" t="s">
        <v>434</v>
      </c>
      <c r="B387" s="4" t="s">
        <v>400</v>
      </c>
      <c r="C387" s="4" t="s">
        <v>60</v>
      </c>
      <c r="D387" s="6">
        <v>150.0</v>
      </c>
      <c r="E387" s="6">
        <v>35.0</v>
      </c>
      <c r="F387" s="6">
        <v>35.0</v>
      </c>
      <c r="G387" s="6">
        <v>150.0</v>
      </c>
      <c r="H387" s="6">
        <v>1.0</v>
      </c>
      <c r="I387" s="6">
        <v>6.0</v>
      </c>
      <c r="J387" s="6">
        <v>91.0</v>
      </c>
      <c r="K387" s="6">
        <v>255.0</v>
      </c>
      <c r="L387" s="4" t="s">
        <v>97</v>
      </c>
      <c r="M387" s="6">
        <v>319.0</v>
      </c>
      <c r="N387" s="6">
        <v>100.0</v>
      </c>
      <c r="O387" s="6">
        <v>500.0</v>
      </c>
      <c r="P387" s="6">
        <v>72.0</v>
      </c>
      <c r="Q387" s="6">
        <v>2.0</v>
      </c>
      <c r="R387" s="6">
        <v>10.0</v>
      </c>
      <c r="S387" s="7"/>
      <c r="T387" s="6">
        <v>10.0</v>
      </c>
      <c r="U387" s="6">
        <v>1828.0</v>
      </c>
      <c r="V387" s="7"/>
      <c r="W387" s="7"/>
      <c r="X387" s="8">
        <f t="shared" si="1"/>
        <v>1.388888889</v>
      </c>
      <c r="Y387" s="9">
        <f t="shared" si="2"/>
        <v>172</v>
      </c>
      <c r="Z387" s="8">
        <f t="shared" si="3"/>
        <v>2.857142857</v>
      </c>
      <c r="AA387" s="8">
        <f t="shared" si="4"/>
        <v>2.057142857</v>
      </c>
      <c r="AB387" s="8">
        <f t="shared" si="5"/>
        <v>0.2857142857</v>
      </c>
      <c r="AC387" s="8">
        <f t="shared" si="6"/>
        <v>16.66666667</v>
      </c>
      <c r="AD387" s="8">
        <f t="shared" si="7"/>
        <v>12</v>
      </c>
      <c r="AE387" s="8">
        <f t="shared" si="8"/>
        <v>1.666666667</v>
      </c>
      <c r="AF387" s="8">
        <f t="shared" si="9"/>
        <v>100</v>
      </c>
      <c r="AG387" s="8">
        <f t="shared" si="10"/>
        <v>72</v>
      </c>
      <c r="AH387" s="8">
        <f t="shared" si="11"/>
        <v>10</v>
      </c>
      <c r="AI387" s="10">
        <f t="shared" si="12"/>
        <v>1.098901099</v>
      </c>
      <c r="AJ387" s="11">
        <f t="shared" si="13"/>
        <v>0.7912087912</v>
      </c>
      <c r="AK387" s="12">
        <f t="shared" si="14"/>
        <v>0.1098901099</v>
      </c>
    </row>
    <row r="388">
      <c r="A388" s="4" t="s">
        <v>435</v>
      </c>
      <c r="B388" s="4" t="s">
        <v>400</v>
      </c>
      <c r="C388" s="4" t="s">
        <v>60</v>
      </c>
      <c r="D388" s="6">
        <v>191.0</v>
      </c>
      <c r="E388" s="6">
        <v>45.0</v>
      </c>
      <c r="F388" s="6">
        <v>45.0</v>
      </c>
      <c r="G388" s="6">
        <v>191.0</v>
      </c>
      <c r="H388" s="6">
        <v>1.0</v>
      </c>
      <c r="I388" s="6">
        <v>8.0</v>
      </c>
      <c r="J388" s="6">
        <v>88.0</v>
      </c>
      <c r="K388" s="6">
        <v>247.0</v>
      </c>
      <c r="L388" s="4" t="s">
        <v>97</v>
      </c>
      <c r="M388" s="6">
        <v>315.0</v>
      </c>
      <c r="N388" s="6">
        <v>100.0</v>
      </c>
      <c r="O388" s="6">
        <v>500.0</v>
      </c>
      <c r="P388" s="6">
        <v>100.0</v>
      </c>
      <c r="Q388" s="6">
        <v>2.0</v>
      </c>
      <c r="R388" s="6">
        <v>10.0</v>
      </c>
      <c r="S388" s="7"/>
      <c r="T388" s="6">
        <v>9.0</v>
      </c>
      <c r="U388" s="6">
        <v>1757.0</v>
      </c>
      <c r="V388" s="7"/>
      <c r="W388" s="7"/>
      <c r="X388" s="8">
        <f t="shared" si="1"/>
        <v>1</v>
      </c>
      <c r="Y388" s="9">
        <f t="shared" si="2"/>
        <v>200</v>
      </c>
      <c r="Z388" s="8">
        <f t="shared" si="3"/>
        <v>2.222222222</v>
      </c>
      <c r="AA388" s="8">
        <f t="shared" si="4"/>
        <v>2.222222222</v>
      </c>
      <c r="AB388" s="8">
        <f t="shared" si="5"/>
        <v>0.2</v>
      </c>
      <c r="AC388" s="8">
        <f t="shared" si="6"/>
        <v>12.5</v>
      </c>
      <c r="AD388" s="8">
        <f t="shared" si="7"/>
        <v>12.5</v>
      </c>
      <c r="AE388" s="8">
        <f t="shared" si="8"/>
        <v>1.125</v>
      </c>
      <c r="AF388" s="8">
        <f t="shared" si="9"/>
        <v>100</v>
      </c>
      <c r="AG388" s="8">
        <f t="shared" si="10"/>
        <v>100</v>
      </c>
      <c r="AH388" s="8">
        <f t="shared" si="11"/>
        <v>9</v>
      </c>
      <c r="AI388" s="10">
        <f t="shared" si="12"/>
        <v>1.136363636</v>
      </c>
      <c r="AJ388" s="11">
        <f t="shared" si="13"/>
        <v>1.136363636</v>
      </c>
      <c r="AK388" s="12">
        <f t="shared" si="14"/>
        <v>0.1022727273</v>
      </c>
    </row>
    <row r="389">
      <c r="A389" s="4" t="s">
        <v>436</v>
      </c>
      <c r="B389" s="4" t="s">
        <v>400</v>
      </c>
      <c r="C389" s="4" t="s">
        <v>73</v>
      </c>
      <c r="D389" s="6">
        <v>80.0</v>
      </c>
      <c r="E389" s="6">
        <v>19.0</v>
      </c>
      <c r="F389" s="6">
        <v>19.0</v>
      </c>
      <c r="G389" s="6">
        <v>80.0</v>
      </c>
      <c r="H389" s="6">
        <v>2.0</v>
      </c>
      <c r="I389" s="6">
        <v>3.0</v>
      </c>
      <c r="J389" s="6">
        <v>50.0</v>
      </c>
      <c r="K389" s="6">
        <v>247.0</v>
      </c>
      <c r="L389" s="4" t="s">
        <v>97</v>
      </c>
      <c r="M389" s="6">
        <v>165.0</v>
      </c>
      <c r="N389" s="6">
        <v>50.0</v>
      </c>
      <c r="O389" s="6">
        <v>200.0</v>
      </c>
      <c r="P389" s="6">
        <v>53.0</v>
      </c>
      <c r="Q389" s="6">
        <v>1.0</v>
      </c>
      <c r="R389" s="6">
        <v>9.0</v>
      </c>
      <c r="S389" s="7"/>
      <c r="T389" s="6">
        <v>6.0</v>
      </c>
      <c r="U389" s="6">
        <v>1546.0</v>
      </c>
      <c r="V389" s="7"/>
      <c r="W389" s="7"/>
      <c r="X389" s="8">
        <f t="shared" si="1"/>
        <v>0.9433962264</v>
      </c>
      <c r="Y389" s="9">
        <f t="shared" si="2"/>
        <v>103</v>
      </c>
      <c r="Z389" s="8">
        <f t="shared" si="3"/>
        <v>2.631578947</v>
      </c>
      <c r="AA389" s="8">
        <f t="shared" si="4"/>
        <v>2.789473684</v>
      </c>
      <c r="AB389" s="8">
        <f t="shared" si="5"/>
        <v>0.3157894737</v>
      </c>
      <c r="AC389" s="8">
        <f t="shared" si="6"/>
        <v>16.66666667</v>
      </c>
      <c r="AD389" s="8">
        <f t="shared" si="7"/>
        <v>17.66666667</v>
      </c>
      <c r="AE389" s="8">
        <f t="shared" si="8"/>
        <v>2</v>
      </c>
      <c r="AF389" s="8">
        <f t="shared" si="9"/>
        <v>25</v>
      </c>
      <c r="AG389" s="8">
        <f t="shared" si="10"/>
        <v>26.5</v>
      </c>
      <c r="AH389" s="8">
        <f t="shared" si="11"/>
        <v>3</v>
      </c>
      <c r="AI389" s="10">
        <f t="shared" si="12"/>
        <v>1</v>
      </c>
      <c r="AJ389" s="11">
        <f t="shared" si="13"/>
        <v>1.06</v>
      </c>
      <c r="AK389" s="12">
        <f t="shared" si="14"/>
        <v>0.12</v>
      </c>
    </row>
    <row r="390">
      <c r="A390" s="4" t="s">
        <v>436</v>
      </c>
      <c r="B390" s="4" t="s">
        <v>400</v>
      </c>
      <c r="C390" s="4" t="s">
        <v>92</v>
      </c>
      <c r="D390" s="6">
        <v>91.0</v>
      </c>
      <c r="E390" s="6">
        <v>21.0</v>
      </c>
      <c r="F390" s="6">
        <v>21.0</v>
      </c>
      <c r="G390" s="6">
        <v>91.0</v>
      </c>
      <c r="H390" s="6">
        <v>1.0</v>
      </c>
      <c r="I390" s="6">
        <v>4.0</v>
      </c>
      <c r="J390" s="6">
        <v>42.0</v>
      </c>
      <c r="K390" s="6">
        <v>326.0</v>
      </c>
      <c r="L390" s="4" t="s">
        <v>97</v>
      </c>
      <c r="M390" s="6">
        <v>165.0</v>
      </c>
      <c r="N390" s="6">
        <v>50.0</v>
      </c>
      <c r="O390" s="6">
        <v>200.0</v>
      </c>
      <c r="P390" s="6">
        <v>40.0</v>
      </c>
      <c r="Q390" s="6">
        <v>1.0</v>
      </c>
      <c r="R390" s="6">
        <v>9.0</v>
      </c>
      <c r="S390" s="7"/>
      <c r="T390" s="6">
        <v>7.0</v>
      </c>
      <c r="U390" s="6">
        <v>1546.0</v>
      </c>
      <c r="V390" s="7"/>
      <c r="W390" s="7"/>
      <c r="X390" s="8">
        <f t="shared" si="1"/>
        <v>1.25</v>
      </c>
      <c r="Y390" s="9">
        <f t="shared" si="2"/>
        <v>90</v>
      </c>
      <c r="Z390" s="8">
        <f t="shared" si="3"/>
        <v>2.380952381</v>
      </c>
      <c r="AA390" s="8">
        <f t="shared" si="4"/>
        <v>1.904761905</v>
      </c>
      <c r="AB390" s="8">
        <f t="shared" si="5"/>
        <v>0.3333333333</v>
      </c>
      <c r="AC390" s="8">
        <f t="shared" si="6"/>
        <v>12.5</v>
      </c>
      <c r="AD390" s="8">
        <f t="shared" si="7"/>
        <v>10</v>
      </c>
      <c r="AE390" s="8">
        <f t="shared" si="8"/>
        <v>1.75</v>
      </c>
      <c r="AF390" s="8">
        <f t="shared" si="9"/>
        <v>50</v>
      </c>
      <c r="AG390" s="8">
        <f t="shared" si="10"/>
        <v>40</v>
      </c>
      <c r="AH390" s="8">
        <f t="shared" si="11"/>
        <v>7</v>
      </c>
      <c r="AI390" s="10">
        <f t="shared" si="12"/>
        <v>1.19047619</v>
      </c>
      <c r="AJ390" s="11">
        <f t="shared" si="13"/>
        <v>0.9523809524</v>
      </c>
      <c r="AK390" s="12">
        <f t="shared" si="14"/>
        <v>0.1666666667</v>
      </c>
    </row>
    <row r="391">
      <c r="A391" s="4" t="s">
        <v>437</v>
      </c>
      <c r="B391" s="4" t="s">
        <v>400</v>
      </c>
      <c r="C391" s="4" t="s">
        <v>73</v>
      </c>
      <c r="D391" s="6">
        <v>138.0</v>
      </c>
      <c r="E391" s="6">
        <v>31.0</v>
      </c>
      <c r="F391" s="6">
        <v>31.0</v>
      </c>
      <c r="G391" s="6">
        <v>138.0</v>
      </c>
      <c r="H391" s="6">
        <v>2.0</v>
      </c>
      <c r="I391" s="6">
        <v>6.0</v>
      </c>
      <c r="J391" s="6">
        <v>86.0</v>
      </c>
      <c r="K391" s="6">
        <v>247.0</v>
      </c>
      <c r="L391" s="4" t="s">
        <v>97</v>
      </c>
      <c r="M391" s="6">
        <v>210.0</v>
      </c>
      <c r="N391" s="6">
        <v>75.0</v>
      </c>
      <c r="O391" s="6">
        <v>500.0</v>
      </c>
      <c r="P391" s="6">
        <v>72.0</v>
      </c>
      <c r="Q391" s="6">
        <v>2.0</v>
      </c>
      <c r="R391" s="6">
        <v>10.0</v>
      </c>
      <c r="S391" s="7"/>
      <c r="T391" s="6">
        <v>8.0</v>
      </c>
      <c r="U391" s="6">
        <v>1195.0</v>
      </c>
      <c r="V391" s="7"/>
      <c r="W391" s="7"/>
      <c r="X391" s="8">
        <f t="shared" si="1"/>
        <v>1.041666667</v>
      </c>
      <c r="Y391" s="9">
        <f t="shared" si="2"/>
        <v>147</v>
      </c>
      <c r="Z391" s="8">
        <f t="shared" si="3"/>
        <v>2.419354839</v>
      </c>
      <c r="AA391" s="8">
        <f t="shared" si="4"/>
        <v>2.322580645</v>
      </c>
      <c r="AB391" s="8">
        <f t="shared" si="5"/>
        <v>0.2580645161</v>
      </c>
      <c r="AC391" s="8">
        <f t="shared" si="6"/>
        <v>12.5</v>
      </c>
      <c r="AD391" s="8">
        <f t="shared" si="7"/>
        <v>12</v>
      </c>
      <c r="AE391" s="8">
        <f t="shared" si="8"/>
        <v>1.333333333</v>
      </c>
      <c r="AF391" s="8">
        <f t="shared" si="9"/>
        <v>37.5</v>
      </c>
      <c r="AG391" s="8">
        <f t="shared" si="10"/>
        <v>36</v>
      </c>
      <c r="AH391" s="8">
        <f t="shared" si="11"/>
        <v>4</v>
      </c>
      <c r="AI391" s="10">
        <f t="shared" si="12"/>
        <v>0.8720930233</v>
      </c>
      <c r="AJ391" s="11">
        <f t="shared" si="13"/>
        <v>0.8372093023</v>
      </c>
      <c r="AK391" s="12">
        <f t="shared" si="14"/>
        <v>0.09302325581</v>
      </c>
    </row>
    <row r="392">
      <c r="A392" s="4" t="s">
        <v>438</v>
      </c>
      <c r="B392" s="4" t="s">
        <v>400</v>
      </c>
      <c r="C392" s="4" t="s">
        <v>92</v>
      </c>
      <c r="D392" s="6">
        <v>117.0</v>
      </c>
      <c r="E392" s="6">
        <v>26.0</v>
      </c>
      <c r="F392" s="6">
        <v>26.0</v>
      </c>
      <c r="G392" s="6">
        <v>117.0</v>
      </c>
      <c r="H392" s="6">
        <v>1.0</v>
      </c>
      <c r="I392" s="6">
        <v>5.0</v>
      </c>
      <c r="J392" s="6">
        <v>71.0</v>
      </c>
      <c r="K392" s="6">
        <v>329.0</v>
      </c>
      <c r="L392" s="4" t="s">
        <v>97</v>
      </c>
      <c r="M392" s="6">
        <v>195.0</v>
      </c>
      <c r="N392" s="6">
        <v>75.0</v>
      </c>
      <c r="O392" s="6">
        <v>400.0</v>
      </c>
      <c r="P392" s="6">
        <v>40.0</v>
      </c>
      <c r="Q392" s="6">
        <v>1.0</v>
      </c>
      <c r="R392" s="6">
        <v>9.0</v>
      </c>
      <c r="S392" s="7"/>
      <c r="T392" s="6">
        <v>8.0</v>
      </c>
      <c r="U392" s="6">
        <v>1546.0</v>
      </c>
      <c r="V392" s="7"/>
      <c r="W392" s="7"/>
      <c r="X392" s="8">
        <f t="shared" si="1"/>
        <v>1.875</v>
      </c>
      <c r="Y392" s="9">
        <f t="shared" si="2"/>
        <v>115</v>
      </c>
      <c r="Z392" s="8">
        <f t="shared" si="3"/>
        <v>2.884615385</v>
      </c>
      <c r="AA392" s="8">
        <f t="shared" si="4"/>
        <v>1.538461538</v>
      </c>
      <c r="AB392" s="8">
        <f t="shared" si="5"/>
        <v>0.3076923077</v>
      </c>
      <c r="AC392" s="8">
        <f t="shared" si="6"/>
        <v>15</v>
      </c>
      <c r="AD392" s="8">
        <f t="shared" si="7"/>
        <v>8</v>
      </c>
      <c r="AE392" s="8">
        <f t="shared" si="8"/>
        <v>1.6</v>
      </c>
      <c r="AF392" s="8">
        <f t="shared" si="9"/>
        <v>75</v>
      </c>
      <c r="AG392" s="8">
        <f t="shared" si="10"/>
        <v>40</v>
      </c>
      <c r="AH392" s="8">
        <f t="shared" si="11"/>
        <v>8</v>
      </c>
      <c r="AI392" s="10">
        <f t="shared" si="12"/>
        <v>1.056338028</v>
      </c>
      <c r="AJ392" s="11">
        <f t="shared" si="13"/>
        <v>0.5633802817</v>
      </c>
      <c r="AK392" s="12">
        <f t="shared" si="14"/>
        <v>0.1126760563</v>
      </c>
    </row>
    <row r="393">
      <c r="A393" s="4" t="s">
        <v>439</v>
      </c>
      <c r="B393" s="4" t="s">
        <v>400</v>
      </c>
      <c r="C393" s="4" t="s">
        <v>60</v>
      </c>
      <c r="D393" s="6">
        <v>142.0</v>
      </c>
      <c r="E393" s="6">
        <v>31.0</v>
      </c>
      <c r="F393" s="6">
        <v>31.0</v>
      </c>
      <c r="G393" s="6">
        <v>142.0</v>
      </c>
      <c r="H393" s="6">
        <v>1.0</v>
      </c>
      <c r="I393" s="6">
        <v>6.0</v>
      </c>
      <c r="J393" s="6">
        <v>116.0</v>
      </c>
      <c r="K393" s="6">
        <v>266.0</v>
      </c>
      <c r="L393" s="4" t="s">
        <v>97</v>
      </c>
      <c r="M393" s="6">
        <v>117.0</v>
      </c>
      <c r="N393" s="6">
        <v>100.0</v>
      </c>
      <c r="O393" s="6">
        <v>403.0</v>
      </c>
      <c r="P393" s="6">
        <v>60.0</v>
      </c>
      <c r="Q393" s="6">
        <v>1.0</v>
      </c>
      <c r="R393" s="6">
        <v>9.0</v>
      </c>
      <c r="S393" s="7"/>
      <c r="T393" s="6">
        <v>8.0</v>
      </c>
      <c r="U393" s="6">
        <v>869.0</v>
      </c>
      <c r="V393" s="7"/>
      <c r="W393" s="7"/>
      <c r="X393" s="8">
        <f t="shared" si="1"/>
        <v>1.666666667</v>
      </c>
      <c r="Y393" s="9">
        <f t="shared" si="2"/>
        <v>160</v>
      </c>
      <c r="Z393" s="8">
        <f t="shared" si="3"/>
        <v>3.225806452</v>
      </c>
      <c r="AA393" s="8">
        <f t="shared" si="4"/>
        <v>1.935483871</v>
      </c>
      <c r="AB393" s="8">
        <f t="shared" si="5"/>
        <v>0.2580645161</v>
      </c>
      <c r="AC393" s="8">
        <f t="shared" si="6"/>
        <v>16.66666667</v>
      </c>
      <c r="AD393" s="8">
        <f t="shared" si="7"/>
        <v>10</v>
      </c>
      <c r="AE393" s="8">
        <f t="shared" si="8"/>
        <v>1.333333333</v>
      </c>
      <c r="AF393" s="8">
        <f t="shared" si="9"/>
        <v>100</v>
      </c>
      <c r="AG393" s="8">
        <f t="shared" si="10"/>
        <v>60</v>
      </c>
      <c r="AH393" s="8">
        <f t="shared" si="11"/>
        <v>8</v>
      </c>
      <c r="AI393" s="10">
        <f t="shared" si="12"/>
        <v>0.8620689655</v>
      </c>
      <c r="AJ393" s="11">
        <f t="shared" si="13"/>
        <v>0.5172413793</v>
      </c>
      <c r="AK393" s="12">
        <f t="shared" si="14"/>
        <v>0.06896551724</v>
      </c>
    </row>
    <row r="394">
      <c r="A394" s="4" t="s">
        <v>440</v>
      </c>
      <c r="B394" s="4" t="s">
        <v>400</v>
      </c>
      <c r="C394" s="4" t="s">
        <v>60</v>
      </c>
      <c r="D394" s="6">
        <v>135.0</v>
      </c>
      <c r="E394" s="6">
        <v>30.0</v>
      </c>
      <c r="F394" s="6">
        <v>30.0</v>
      </c>
      <c r="G394" s="6">
        <v>135.0</v>
      </c>
      <c r="H394" s="6">
        <v>1.0</v>
      </c>
      <c r="I394" s="6">
        <v>5.0</v>
      </c>
      <c r="J394" s="6">
        <v>82.0</v>
      </c>
      <c r="K394" s="6">
        <v>247.0</v>
      </c>
      <c r="L394" s="4" t="s">
        <v>97</v>
      </c>
      <c r="M394" s="6">
        <v>195.0</v>
      </c>
      <c r="N394" s="6">
        <v>75.0</v>
      </c>
      <c r="O394" s="6">
        <v>400.0</v>
      </c>
      <c r="P394" s="6">
        <v>50.0</v>
      </c>
      <c r="Q394" s="6">
        <v>1.0</v>
      </c>
      <c r="R394" s="6">
        <v>9.0</v>
      </c>
      <c r="S394" s="7"/>
      <c r="T394" s="6">
        <v>9.0</v>
      </c>
      <c r="U394" s="6">
        <v>1856.0</v>
      </c>
      <c r="V394" s="7"/>
      <c r="W394" s="7"/>
      <c r="X394" s="8">
        <f t="shared" si="1"/>
        <v>1.5</v>
      </c>
      <c r="Y394" s="9">
        <f t="shared" si="2"/>
        <v>125</v>
      </c>
      <c r="Z394" s="8">
        <f t="shared" si="3"/>
        <v>2.5</v>
      </c>
      <c r="AA394" s="8">
        <f t="shared" si="4"/>
        <v>1.666666667</v>
      </c>
      <c r="AB394" s="8">
        <f t="shared" si="5"/>
        <v>0.3</v>
      </c>
      <c r="AC394" s="8">
        <f t="shared" si="6"/>
        <v>15</v>
      </c>
      <c r="AD394" s="8">
        <f t="shared" si="7"/>
        <v>10</v>
      </c>
      <c r="AE394" s="8">
        <f t="shared" si="8"/>
        <v>1.8</v>
      </c>
      <c r="AF394" s="8">
        <f t="shared" si="9"/>
        <v>75</v>
      </c>
      <c r="AG394" s="8">
        <f t="shared" si="10"/>
        <v>50</v>
      </c>
      <c r="AH394" s="8">
        <f t="shared" si="11"/>
        <v>9</v>
      </c>
      <c r="AI394" s="10">
        <f t="shared" si="12"/>
        <v>0.9146341463</v>
      </c>
      <c r="AJ394" s="11">
        <f t="shared" si="13"/>
        <v>0.6097560976</v>
      </c>
      <c r="AK394" s="12">
        <f t="shared" si="14"/>
        <v>0.1097560976</v>
      </c>
    </row>
    <row r="395">
      <c r="A395" s="4" t="s">
        <v>441</v>
      </c>
      <c r="B395" s="4" t="s">
        <v>400</v>
      </c>
      <c r="C395" s="4" t="s">
        <v>60</v>
      </c>
      <c r="D395" s="6">
        <v>121.0</v>
      </c>
      <c r="E395" s="6">
        <v>27.0</v>
      </c>
      <c r="F395" s="6">
        <v>27.0</v>
      </c>
      <c r="G395" s="6">
        <v>121.0</v>
      </c>
      <c r="H395" s="6">
        <v>1.0</v>
      </c>
      <c r="I395" s="6">
        <v>5.0</v>
      </c>
      <c r="J395" s="6">
        <v>74.0</v>
      </c>
      <c r="K395" s="6">
        <v>247.0</v>
      </c>
      <c r="L395" s="4" t="s">
        <v>97</v>
      </c>
      <c r="M395" s="6">
        <v>195.0</v>
      </c>
      <c r="N395" s="6">
        <v>75.0</v>
      </c>
      <c r="O395" s="6">
        <v>400.0</v>
      </c>
      <c r="P395" s="6">
        <v>68.0</v>
      </c>
      <c r="Q395" s="6">
        <v>1.0</v>
      </c>
      <c r="R395" s="6">
        <v>9.0</v>
      </c>
      <c r="S395" s="7"/>
      <c r="T395" s="6">
        <v>8.0</v>
      </c>
      <c r="U395" s="6">
        <v>1546.0</v>
      </c>
      <c r="V395" s="7"/>
      <c r="W395" s="7"/>
      <c r="X395" s="8">
        <f t="shared" si="1"/>
        <v>1.102941176</v>
      </c>
      <c r="Y395" s="9">
        <f t="shared" si="2"/>
        <v>143</v>
      </c>
      <c r="Z395" s="8">
        <f t="shared" si="3"/>
        <v>2.777777778</v>
      </c>
      <c r="AA395" s="8">
        <f t="shared" si="4"/>
        <v>2.518518519</v>
      </c>
      <c r="AB395" s="8">
        <f t="shared" si="5"/>
        <v>0.2962962963</v>
      </c>
      <c r="AC395" s="8">
        <f t="shared" si="6"/>
        <v>15</v>
      </c>
      <c r="AD395" s="8">
        <f t="shared" si="7"/>
        <v>13.6</v>
      </c>
      <c r="AE395" s="8">
        <f t="shared" si="8"/>
        <v>1.6</v>
      </c>
      <c r="AF395" s="8">
        <f t="shared" si="9"/>
        <v>75</v>
      </c>
      <c r="AG395" s="8">
        <f t="shared" si="10"/>
        <v>68</v>
      </c>
      <c r="AH395" s="8">
        <f t="shared" si="11"/>
        <v>8</v>
      </c>
      <c r="AI395" s="10">
        <f t="shared" si="12"/>
        <v>1.013513514</v>
      </c>
      <c r="AJ395" s="11">
        <f t="shared" si="13"/>
        <v>0.9189189189</v>
      </c>
      <c r="AK395" s="12">
        <f t="shared" si="14"/>
        <v>0.1081081081</v>
      </c>
    </row>
    <row r="396">
      <c r="A396" s="4" t="s">
        <v>442</v>
      </c>
      <c r="B396" s="4" t="s">
        <v>400</v>
      </c>
      <c r="C396" s="5" t="s">
        <v>82</v>
      </c>
      <c r="D396" s="6">
        <v>154.0</v>
      </c>
      <c r="E396" s="6">
        <v>36.0</v>
      </c>
      <c r="F396" s="6">
        <v>36.0</v>
      </c>
      <c r="G396" s="6">
        <v>154.0</v>
      </c>
      <c r="H396" s="6">
        <v>0.0</v>
      </c>
      <c r="I396" s="6">
        <v>6.0</v>
      </c>
      <c r="J396" s="6">
        <v>95.0</v>
      </c>
      <c r="K396" s="6">
        <v>209.0</v>
      </c>
      <c r="L396" s="4" t="s">
        <v>97</v>
      </c>
      <c r="M396" s="6">
        <v>242.0</v>
      </c>
      <c r="N396" s="6">
        <v>150.0</v>
      </c>
      <c r="O396" s="6">
        <v>590.0</v>
      </c>
      <c r="P396" s="6">
        <v>83.0</v>
      </c>
      <c r="Q396" s="6">
        <v>0.0</v>
      </c>
      <c r="R396" s="6">
        <v>9.0</v>
      </c>
      <c r="S396" s="7"/>
      <c r="T396" s="6">
        <v>10.0</v>
      </c>
      <c r="U396" s="6">
        <v>1353.0</v>
      </c>
      <c r="V396" s="7"/>
      <c r="W396" s="7"/>
      <c r="X396" s="8">
        <f t="shared" si="1"/>
        <v>1.807228916</v>
      </c>
      <c r="Y396" s="9">
        <f t="shared" si="2"/>
        <v>233</v>
      </c>
      <c r="Z396" s="8">
        <f t="shared" si="3"/>
        <v>4.166666667</v>
      </c>
      <c r="AA396" s="8">
        <f t="shared" si="4"/>
        <v>2.305555556</v>
      </c>
      <c r="AB396" s="8">
        <f t="shared" si="5"/>
        <v>0.2777777778</v>
      </c>
      <c r="AC396" s="8">
        <f t="shared" si="6"/>
        <v>25</v>
      </c>
      <c r="AD396" s="8">
        <f t="shared" si="7"/>
        <v>13.83333333</v>
      </c>
      <c r="AE396" s="8">
        <f t="shared" si="8"/>
        <v>1.666666667</v>
      </c>
      <c r="AF396" s="8" t="str">
        <f t="shared" si="9"/>
        <v>#DIV/0!</v>
      </c>
      <c r="AG396" s="8" t="str">
        <f t="shared" si="10"/>
        <v>#DIV/0!</v>
      </c>
      <c r="AH396" s="8" t="str">
        <f t="shared" si="11"/>
        <v>#DIV/0!</v>
      </c>
      <c r="AI396" s="10">
        <f t="shared" si="12"/>
        <v>1.578947368</v>
      </c>
      <c r="AJ396" s="11">
        <f t="shared" si="13"/>
        <v>0.8736842105</v>
      </c>
      <c r="AK396" s="12">
        <f t="shared" si="14"/>
        <v>0.1052631579</v>
      </c>
    </row>
    <row r="397">
      <c r="A397" s="4" t="s">
        <v>443</v>
      </c>
      <c r="B397" s="4" t="s">
        <v>400</v>
      </c>
      <c r="C397" s="4" t="s">
        <v>49</v>
      </c>
      <c r="D397" s="6">
        <v>196.0</v>
      </c>
      <c r="E397" s="6">
        <v>46.0</v>
      </c>
      <c r="F397" s="6">
        <v>46.0</v>
      </c>
      <c r="G397" s="6">
        <v>196.0</v>
      </c>
      <c r="H397" s="6">
        <v>1.0</v>
      </c>
      <c r="I397" s="6">
        <v>8.0</v>
      </c>
      <c r="J397" s="6">
        <v>123.0</v>
      </c>
      <c r="K397" s="6">
        <v>294.0</v>
      </c>
      <c r="L397" s="4" t="s">
        <v>97</v>
      </c>
      <c r="M397" s="6">
        <v>270.0</v>
      </c>
      <c r="N397" s="6">
        <v>100.0</v>
      </c>
      <c r="O397" s="6">
        <v>750.0</v>
      </c>
      <c r="P397" s="6">
        <v>72.0</v>
      </c>
      <c r="Q397" s="6">
        <v>0.0</v>
      </c>
      <c r="R397" s="6">
        <v>6.0</v>
      </c>
      <c r="S397" s="7"/>
      <c r="T397" s="6">
        <v>7.0</v>
      </c>
      <c r="U397" s="6">
        <v>1476.0</v>
      </c>
      <c r="V397" s="7"/>
      <c r="W397" s="7"/>
      <c r="X397" s="8">
        <f t="shared" si="1"/>
        <v>1.388888889</v>
      </c>
      <c r="Y397" s="9">
        <f t="shared" si="2"/>
        <v>172</v>
      </c>
      <c r="Z397" s="8">
        <f t="shared" si="3"/>
        <v>2.173913043</v>
      </c>
      <c r="AA397" s="8">
        <f t="shared" si="4"/>
        <v>1.565217391</v>
      </c>
      <c r="AB397" s="8">
        <f t="shared" si="5"/>
        <v>0.152173913</v>
      </c>
      <c r="AC397" s="8">
        <f t="shared" si="6"/>
        <v>12.5</v>
      </c>
      <c r="AD397" s="8">
        <f t="shared" si="7"/>
        <v>9</v>
      </c>
      <c r="AE397" s="8">
        <f t="shared" si="8"/>
        <v>0.875</v>
      </c>
      <c r="AF397" s="8">
        <f t="shared" si="9"/>
        <v>100</v>
      </c>
      <c r="AG397" s="8">
        <f t="shared" si="10"/>
        <v>72</v>
      </c>
      <c r="AH397" s="8">
        <f t="shared" si="11"/>
        <v>7</v>
      </c>
      <c r="AI397" s="10">
        <f t="shared" si="12"/>
        <v>0.8130081301</v>
      </c>
      <c r="AJ397" s="11">
        <f t="shared" si="13"/>
        <v>0.5853658537</v>
      </c>
      <c r="AK397" s="12">
        <f t="shared" si="14"/>
        <v>0.05691056911</v>
      </c>
    </row>
    <row r="398">
      <c r="A398" s="4" t="s">
        <v>443</v>
      </c>
      <c r="B398" s="4" t="s">
        <v>400</v>
      </c>
      <c r="C398" s="4" t="s">
        <v>92</v>
      </c>
      <c r="D398" s="6">
        <v>130.0</v>
      </c>
      <c r="E398" s="6">
        <v>30.0</v>
      </c>
      <c r="F398" s="6">
        <v>30.0</v>
      </c>
      <c r="G398" s="6">
        <v>130.0</v>
      </c>
      <c r="H398" s="6">
        <v>2.0</v>
      </c>
      <c r="I398" s="6">
        <v>5.0</v>
      </c>
      <c r="J398" s="6">
        <v>80.0</v>
      </c>
      <c r="K398" s="6">
        <v>300.0</v>
      </c>
      <c r="L398" s="4" t="s">
        <v>97</v>
      </c>
      <c r="M398" s="6">
        <v>270.0</v>
      </c>
      <c r="N398" s="6">
        <v>75.0</v>
      </c>
      <c r="O398" s="6">
        <v>500.0</v>
      </c>
      <c r="P398" s="6">
        <v>53.0</v>
      </c>
      <c r="Q398" s="6">
        <v>0.0</v>
      </c>
      <c r="R398" s="6">
        <v>6.0</v>
      </c>
      <c r="S398" s="7"/>
      <c r="T398" s="6">
        <v>7.0</v>
      </c>
      <c r="U398" s="6">
        <v>1406.0</v>
      </c>
      <c r="V398" s="7"/>
      <c r="W398" s="7"/>
      <c r="X398" s="8">
        <f t="shared" si="1"/>
        <v>1.41509434</v>
      </c>
      <c r="Y398" s="9">
        <f t="shared" si="2"/>
        <v>128</v>
      </c>
      <c r="Z398" s="8">
        <f t="shared" si="3"/>
        <v>2.5</v>
      </c>
      <c r="AA398" s="8">
        <f t="shared" si="4"/>
        <v>1.766666667</v>
      </c>
      <c r="AB398" s="8">
        <f t="shared" si="5"/>
        <v>0.2333333333</v>
      </c>
      <c r="AC398" s="8">
        <f t="shared" si="6"/>
        <v>15</v>
      </c>
      <c r="AD398" s="8">
        <f t="shared" si="7"/>
        <v>10.6</v>
      </c>
      <c r="AE398" s="8">
        <f t="shared" si="8"/>
        <v>1.4</v>
      </c>
      <c r="AF398" s="8">
        <f t="shared" si="9"/>
        <v>37.5</v>
      </c>
      <c r="AG398" s="8">
        <f t="shared" si="10"/>
        <v>26.5</v>
      </c>
      <c r="AH398" s="8">
        <f t="shared" si="11"/>
        <v>3.5</v>
      </c>
      <c r="AI398" s="10">
        <f t="shared" si="12"/>
        <v>0.9375</v>
      </c>
      <c r="AJ398" s="11">
        <f t="shared" si="13"/>
        <v>0.6625</v>
      </c>
      <c r="AK398" s="12">
        <f t="shared" si="14"/>
        <v>0.0875</v>
      </c>
    </row>
    <row r="399">
      <c r="A399" s="4" t="s">
        <v>444</v>
      </c>
      <c r="B399" s="4" t="s">
        <v>400</v>
      </c>
      <c r="C399" s="4" t="s">
        <v>64</v>
      </c>
      <c r="D399" s="6">
        <v>182.0</v>
      </c>
      <c r="E399" s="6">
        <v>43.0</v>
      </c>
      <c r="F399" s="6">
        <v>43.0</v>
      </c>
      <c r="G399" s="6">
        <v>182.0</v>
      </c>
      <c r="H399" s="6">
        <v>1.0</v>
      </c>
      <c r="I399" s="6">
        <v>8.0</v>
      </c>
      <c r="J399" s="6">
        <v>114.0</v>
      </c>
      <c r="K399" s="6">
        <v>236.0</v>
      </c>
      <c r="L399" s="4" t="s">
        <v>97</v>
      </c>
      <c r="M399" s="6">
        <v>300.0</v>
      </c>
      <c r="N399" s="6">
        <v>125.0</v>
      </c>
      <c r="O399" s="6">
        <v>600.0</v>
      </c>
      <c r="P399" s="6">
        <v>73.0</v>
      </c>
      <c r="Q399" s="6">
        <v>2.0</v>
      </c>
      <c r="R399" s="6">
        <v>10.0</v>
      </c>
      <c r="S399" s="7"/>
      <c r="T399" s="6">
        <v>10.0</v>
      </c>
      <c r="U399" s="6">
        <v>1546.0</v>
      </c>
      <c r="V399" s="7"/>
      <c r="W399" s="7"/>
      <c r="X399" s="8">
        <f t="shared" si="1"/>
        <v>1.712328767</v>
      </c>
      <c r="Y399" s="9">
        <f t="shared" si="2"/>
        <v>198</v>
      </c>
      <c r="Z399" s="8">
        <f t="shared" si="3"/>
        <v>2.906976744</v>
      </c>
      <c r="AA399" s="8">
        <f t="shared" si="4"/>
        <v>1.697674419</v>
      </c>
      <c r="AB399" s="8">
        <f t="shared" si="5"/>
        <v>0.2325581395</v>
      </c>
      <c r="AC399" s="8">
        <f t="shared" si="6"/>
        <v>15.625</v>
      </c>
      <c r="AD399" s="8">
        <f t="shared" si="7"/>
        <v>9.125</v>
      </c>
      <c r="AE399" s="8">
        <f t="shared" si="8"/>
        <v>1.25</v>
      </c>
      <c r="AF399" s="8">
        <f t="shared" si="9"/>
        <v>125</v>
      </c>
      <c r="AG399" s="8">
        <f t="shared" si="10"/>
        <v>73</v>
      </c>
      <c r="AH399" s="8">
        <f t="shared" si="11"/>
        <v>10</v>
      </c>
      <c r="AI399" s="10">
        <f t="shared" si="12"/>
        <v>1.096491228</v>
      </c>
      <c r="AJ399" s="11">
        <f t="shared" si="13"/>
        <v>0.6403508772</v>
      </c>
      <c r="AK399" s="12">
        <f t="shared" si="14"/>
        <v>0.08771929825</v>
      </c>
    </row>
    <row r="400">
      <c r="A400" s="4" t="s">
        <v>445</v>
      </c>
      <c r="B400" s="4" t="s">
        <v>400</v>
      </c>
      <c r="C400" s="4" t="s">
        <v>64</v>
      </c>
      <c r="D400" s="6">
        <v>182.0</v>
      </c>
      <c r="E400" s="6">
        <v>43.0</v>
      </c>
      <c r="F400" s="6">
        <v>43.0</v>
      </c>
      <c r="G400" s="6">
        <v>182.0</v>
      </c>
      <c r="H400" s="6">
        <v>1.0</v>
      </c>
      <c r="I400" s="6">
        <v>8.0</v>
      </c>
      <c r="J400" s="6">
        <v>114.0</v>
      </c>
      <c r="K400" s="6">
        <v>236.0</v>
      </c>
      <c r="L400" s="4" t="s">
        <v>97</v>
      </c>
      <c r="M400" s="6">
        <v>399.0</v>
      </c>
      <c r="N400" s="6">
        <v>100.0</v>
      </c>
      <c r="O400" s="6">
        <v>600.0</v>
      </c>
      <c r="P400" s="6">
        <v>73.0</v>
      </c>
      <c r="Q400" s="6">
        <v>2.0</v>
      </c>
      <c r="R400" s="6">
        <v>10.0</v>
      </c>
      <c r="S400" s="7"/>
      <c r="T400" s="6">
        <v>10.0</v>
      </c>
      <c r="U400" s="6">
        <v>1546.0</v>
      </c>
      <c r="V400" s="7"/>
      <c r="W400" s="7"/>
      <c r="X400" s="8">
        <f t="shared" si="1"/>
        <v>1.369863014</v>
      </c>
      <c r="Y400" s="9">
        <f t="shared" si="2"/>
        <v>173</v>
      </c>
      <c r="Z400" s="8">
        <f t="shared" si="3"/>
        <v>2.325581395</v>
      </c>
      <c r="AA400" s="8">
        <f t="shared" si="4"/>
        <v>1.697674419</v>
      </c>
      <c r="AB400" s="8">
        <f t="shared" si="5"/>
        <v>0.2325581395</v>
      </c>
      <c r="AC400" s="8">
        <f t="shared" si="6"/>
        <v>12.5</v>
      </c>
      <c r="AD400" s="8">
        <f t="shared" si="7"/>
        <v>9.125</v>
      </c>
      <c r="AE400" s="8">
        <f t="shared" si="8"/>
        <v>1.25</v>
      </c>
      <c r="AF400" s="8">
        <f t="shared" si="9"/>
        <v>100</v>
      </c>
      <c r="AG400" s="8">
        <f t="shared" si="10"/>
        <v>73</v>
      </c>
      <c r="AH400" s="8">
        <f t="shared" si="11"/>
        <v>10</v>
      </c>
      <c r="AI400" s="10">
        <f t="shared" si="12"/>
        <v>0.8771929825</v>
      </c>
      <c r="AJ400" s="11">
        <f t="shared" si="13"/>
        <v>0.6403508772</v>
      </c>
      <c r="AK400" s="12">
        <f t="shared" si="14"/>
        <v>0.08771929825</v>
      </c>
    </row>
    <row r="401">
      <c r="A401" s="4" t="s">
        <v>446</v>
      </c>
      <c r="B401" s="4" t="s">
        <v>400</v>
      </c>
      <c r="C401" s="4" t="s">
        <v>73</v>
      </c>
      <c r="D401" s="6">
        <v>92.0</v>
      </c>
      <c r="E401" s="6">
        <v>21.0</v>
      </c>
      <c r="F401" s="6">
        <v>21.0</v>
      </c>
      <c r="G401" s="6">
        <v>92.0</v>
      </c>
      <c r="H401" s="6">
        <v>1.0</v>
      </c>
      <c r="I401" s="6">
        <v>4.0</v>
      </c>
      <c r="J401" s="6">
        <v>42.0</v>
      </c>
      <c r="K401" s="6">
        <v>240.0</v>
      </c>
      <c r="L401" s="4" t="s">
        <v>97</v>
      </c>
      <c r="M401" s="6">
        <v>165.0</v>
      </c>
      <c r="N401" s="6">
        <v>50.0</v>
      </c>
      <c r="O401" s="6">
        <v>300.0</v>
      </c>
      <c r="P401" s="6">
        <v>71.0</v>
      </c>
      <c r="Q401" s="6">
        <v>1.0</v>
      </c>
      <c r="R401" s="6">
        <v>10.0</v>
      </c>
      <c r="S401" s="7"/>
      <c r="T401" s="6">
        <v>12.0</v>
      </c>
      <c r="U401" s="6">
        <v>1828.0</v>
      </c>
      <c r="V401" s="7"/>
      <c r="W401" s="7"/>
      <c r="X401" s="8">
        <f t="shared" si="1"/>
        <v>0.7042253521</v>
      </c>
      <c r="Y401" s="9">
        <f t="shared" si="2"/>
        <v>121</v>
      </c>
      <c r="Z401" s="8">
        <f t="shared" si="3"/>
        <v>2.380952381</v>
      </c>
      <c r="AA401" s="8">
        <f t="shared" si="4"/>
        <v>3.380952381</v>
      </c>
      <c r="AB401" s="8">
        <f t="shared" si="5"/>
        <v>0.5714285714</v>
      </c>
      <c r="AC401" s="8">
        <f t="shared" si="6"/>
        <v>12.5</v>
      </c>
      <c r="AD401" s="8">
        <f t="shared" si="7"/>
        <v>17.75</v>
      </c>
      <c r="AE401" s="8">
        <f t="shared" si="8"/>
        <v>3</v>
      </c>
      <c r="AF401" s="8">
        <f t="shared" si="9"/>
        <v>50</v>
      </c>
      <c r="AG401" s="8">
        <f t="shared" si="10"/>
        <v>71</v>
      </c>
      <c r="AH401" s="8">
        <f t="shared" si="11"/>
        <v>12</v>
      </c>
      <c r="AI401" s="10">
        <f t="shared" si="12"/>
        <v>1.19047619</v>
      </c>
      <c r="AJ401" s="11">
        <f t="shared" si="13"/>
        <v>1.69047619</v>
      </c>
      <c r="AK401" s="12">
        <f t="shared" si="14"/>
        <v>0.2857142857</v>
      </c>
    </row>
    <row r="402">
      <c r="A402" s="4" t="s">
        <v>447</v>
      </c>
      <c r="B402" s="4" t="s">
        <v>400</v>
      </c>
      <c r="C402" s="4" t="s">
        <v>73</v>
      </c>
      <c r="D402" s="6">
        <v>285.0</v>
      </c>
      <c r="E402" s="6">
        <v>67.0</v>
      </c>
      <c r="F402" s="6">
        <v>67.0</v>
      </c>
      <c r="G402" s="6">
        <v>285.0</v>
      </c>
      <c r="H402" s="6">
        <v>2.0</v>
      </c>
      <c r="I402" s="6">
        <v>12.0</v>
      </c>
      <c r="J402" s="6">
        <v>131.0</v>
      </c>
      <c r="K402" s="6">
        <v>267.0</v>
      </c>
      <c r="L402" s="4" t="s">
        <v>97</v>
      </c>
      <c r="M402" s="6">
        <v>585.0</v>
      </c>
      <c r="N402" s="6">
        <v>200.0</v>
      </c>
      <c r="O402" s="6">
        <v>820.0</v>
      </c>
      <c r="P402" s="6">
        <v>131.0</v>
      </c>
      <c r="Q402" s="6">
        <v>2.0</v>
      </c>
      <c r="R402" s="6">
        <v>10.0</v>
      </c>
      <c r="S402" s="7"/>
      <c r="T402" s="6">
        <v>9.0</v>
      </c>
      <c r="U402" s="6">
        <v>1828.0</v>
      </c>
      <c r="V402" s="7"/>
      <c r="W402" s="7"/>
      <c r="X402" s="8">
        <f t="shared" si="1"/>
        <v>1.526717557</v>
      </c>
      <c r="Y402" s="9">
        <f t="shared" si="2"/>
        <v>331</v>
      </c>
      <c r="Z402" s="8">
        <f t="shared" si="3"/>
        <v>2.985074627</v>
      </c>
      <c r="AA402" s="8">
        <f t="shared" si="4"/>
        <v>1.955223881</v>
      </c>
      <c r="AB402" s="8">
        <f t="shared" si="5"/>
        <v>0.1343283582</v>
      </c>
      <c r="AC402" s="8">
        <f t="shared" si="6"/>
        <v>16.66666667</v>
      </c>
      <c r="AD402" s="8">
        <f t="shared" si="7"/>
        <v>10.91666667</v>
      </c>
      <c r="AE402" s="8">
        <f t="shared" si="8"/>
        <v>0.75</v>
      </c>
      <c r="AF402" s="8">
        <f t="shared" si="9"/>
        <v>100</v>
      </c>
      <c r="AG402" s="8">
        <f t="shared" si="10"/>
        <v>65.5</v>
      </c>
      <c r="AH402" s="8">
        <f t="shared" si="11"/>
        <v>4.5</v>
      </c>
      <c r="AI402" s="10">
        <f t="shared" si="12"/>
        <v>1.526717557</v>
      </c>
      <c r="AJ402" s="11">
        <f t="shared" si="13"/>
        <v>1</v>
      </c>
      <c r="AK402" s="12">
        <f t="shared" si="14"/>
        <v>0.06870229008</v>
      </c>
    </row>
    <row r="403">
      <c r="A403" s="4" t="s">
        <v>448</v>
      </c>
      <c r="B403" s="4" t="s">
        <v>400</v>
      </c>
      <c r="C403" s="4" t="s">
        <v>92</v>
      </c>
      <c r="D403" s="6">
        <v>95.0</v>
      </c>
      <c r="E403" s="6">
        <v>21.0</v>
      </c>
      <c r="F403" s="6">
        <v>21.0</v>
      </c>
      <c r="G403" s="6">
        <v>95.0</v>
      </c>
      <c r="H403" s="6">
        <v>2.0</v>
      </c>
      <c r="I403" s="6">
        <v>4.0</v>
      </c>
      <c r="J403" s="6">
        <v>58.0</v>
      </c>
      <c r="K403" s="6">
        <v>255.0</v>
      </c>
      <c r="L403" s="4" t="s">
        <v>97</v>
      </c>
      <c r="M403" s="6">
        <v>195.0</v>
      </c>
      <c r="N403" s="6">
        <v>75.0</v>
      </c>
      <c r="O403" s="6">
        <v>500.0</v>
      </c>
      <c r="P403" s="6">
        <v>72.0</v>
      </c>
      <c r="Q403" s="6">
        <v>0.0</v>
      </c>
      <c r="R403" s="6">
        <v>8.0</v>
      </c>
      <c r="S403" s="7"/>
      <c r="T403" s="6">
        <v>7.0</v>
      </c>
      <c r="U403" s="6">
        <v>1757.0</v>
      </c>
      <c r="V403" s="7"/>
      <c r="W403" s="7"/>
      <c r="X403" s="8">
        <f t="shared" si="1"/>
        <v>1.041666667</v>
      </c>
      <c r="Y403" s="9">
        <f t="shared" si="2"/>
        <v>147</v>
      </c>
      <c r="Z403" s="8">
        <f t="shared" si="3"/>
        <v>3.571428571</v>
      </c>
      <c r="AA403" s="8">
        <f t="shared" si="4"/>
        <v>3.428571429</v>
      </c>
      <c r="AB403" s="8">
        <f t="shared" si="5"/>
        <v>0.3333333333</v>
      </c>
      <c r="AC403" s="8">
        <f t="shared" si="6"/>
        <v>18.75</v>
      </c>
      <c r="AD403" s="8">
        <f t="shared" si="7"/>
        <v>18</v>
      </c>
      <c r="AE403" s="8">
        <f t="shared" si="8"/>
        <v>1.75</v>
      </c>
      <c r="AF403" s="8">
        <f t="shared" si="9"/>
        <v>37.5</v>
      </c>
      <c r="AG403" s="8">
        <f t="shared" si="10"/>
        <v>36</v>
      </c>
      <c r="AH403" s="8">
        <f t="shared" si="11"/>
        <v>3.5</v>
      </c>
      <c r="AI403" s="10">
        <f t="shared" si="12"/>
        <v>1.293103448</v>
      </c>
      <c r="AJ403" s="11">
        <f t="shared" si="13"/>
        <v>1.24137931</v>
      </c>
      <c r="AK403" s="12">
        <f t="shared" si="14"/>
        <v>0.1206896552</v>
      </c>
    </row>
    <row r="404">
      <c r="A404" s="4" t="s">
        <v>449</v>
      </c>
      <c r="B404" s="4" t="s">
        <v>400</v>
      </c>
      <c r="C404" s="4" t="s">
        <v>92</v>
      </c>
      <c r="D404" s="6">
        <v>118.0</v>
      </c>
      <c r="E404" s="6">
        <v>27.0</v>
      </c>
      <c r="F404" s="6">
        <v>27.0</v>
      </c>
      <c r="G404" s="6">
        <v>118.0</v>
      </c>
      <c r="H404" s="6">
        <v>2.0</v>
      </c>
      <c r="I404" s="6">
        <v>5.0</v>
      </c>
      <c r="J404" s="6">
        <v>74.0</v>
      </c>
      <c r="K404" s="6">
        <v>255.0</v>
      </c>
      <c r="L404" s="4" t="s">
        <v>97</v>
      </c>
      <c r="M404" s="6">
        <v>259.0</v>
      </c>
      <c r="N404" s="6">
        <v>75.0</v>
      </c>
      <c r="O404" s="6">
        <v>500.0</v>
      </c>
      <c r="P404" s="6">
        <v>73.0</v>
      </c>
      <c r="Q404" s="6">
        <v>0.0</v>
      </c>
      <c r="R404" s="6">
        <v>8.0</v>
      </c>
      <c r="S404" s="7"/>
      <c r="T404" s="6">
        <v>7.0</v>
      </c>
      <c r="U404" s="6">
        <v>1757.0</v>
      </c>
      <c r="V404" s="7"/>
      <c r="W404" s="7"/>
      <c r="X404" s="8">
        <f t="shared" si="1"/>
        <v>1.02739726</v>
      </c>
      <c r="Y404" s="9">
        <f t="shared" si="2"/>
        <v>148</v>
      </c>
      <c r="Z404" s="8">
        <f t="shared" si="3"/>
        <v>2.777777778</v>
      </c>
      <c r="AA404" s="8">
        <f t="shared" si="4"/>
        <v>2.703703704</v>
      </c>
      <c r="AB404" s="8">
        <f t="shared" si="5"/>
        <v>0.2592592593</v>
      </c>
      <c r="AC404" s="8">
        <f t="shared" si="6"/>
        <v>15</v>
      </c>
      <c r="AD404" s="8">
        <f t="shared" si="7"/>
        <v>14.6</v>
      </c>
      <c r="AE404" s="8">
        <f t="shared" si="8"/>
        <v>1.4</v>
      </c>
      <c r="AF404" s="8">
        <f t="shared" si="9"/>
        <v>37.5</v>
      </c>
      <c r="AG404" s="8">
        <f t="shared" si="10"/>
        <v>36.5</v>
      </c>
      <c r="AH404" s="8">
        <f t="shared" si="11"/>
        <v>3.5</v>
      </c>
      <c r="AI404" s="10">
        <f t="shared" si="12"/>
        <v>1.013513514</v>
      </c>
      <c r="AJ404" s="11">
        <f t="shared" si="13"/>
        <v>0.9864864865</v>
      </c>
      <c r="AK404" s="12">
        <f t="shared" si="14"/>
        <v>0.09459459459</v>
      </c>
    </row>
    <row r="405">
      <c r="A405" s="4" t="s">
        <v>450</v>
      </c>
      <c r="B405" s="4" t="s">
        <v>400</v>
      </c>
      <c r="C405" s="4" t="s">
        <v>92</v>
      </c>
      <c r="D405" s="6">
        <v>132.0</v>
      </c>
      <c r="E405" s="6">
        <v>30.0</v>
      </c>
      <c r="F405" s="6">
        <v>30.0</v>
      </c>
      <c r="G405" s="6">
        <v>132.0</v>
      </c>
      <c r="H405" s="6">
        <v>2.0</v>
      </c>
      <c r="I405" s="6">
        <v>5.0</v>
      </c>
      <c r="J405" s="6">
        <v>82.0</v>
      </c>
      <c r="K405" s="6">
        <v>274.0</v>
      </c>
      <c r="L405" s="4" t="s">
        <v>97</v>
      </c>
      <c r="M405" s="6">
        <v>195.0</v>
      </c>
      <c r="N405" s="6">
        <v>75.0</v>
      </c>
      <c r="O405" s="6">
        <v>500.0</v>
      </c>
      <c r="P405" s="6">
        <v>73.0</v>
      </c>
      <c r="Q405" s="6">
        <v>0.0</v>
      </c>
      <c r="R405" s="6">
        <v>8.0</v>
      </c>
      <c r="S405" s="7"/>
      <c r="T405" s="6">
        <v>7.0</v>
      </c>
      <c r="U405" s="6">
        <v>2109.0</v>
      </c>
      <c r="V405" s="7"/>
      <c r="W405" s="7"/>
      <c r="X405" s="8">
        <f t="shared" si="1"/>
        <v>1.02739726</v>
      </c>
      <c r="Y405" s="9">
        <f t="shared" si="2"/>
        <v>148</v>
      </c>
      <c r="Z405" s="8">
        <f t="shared" si="3"/>
        <v>2.5</v>
      </c>
      <c r="AA405" s="8">
        <f t="shared" si="4"/>
        <v>2.433333333</v>
      </c>
      <c r="AB405" s="8">
        <f t="shared" si="5"/>
        <v>0.2333333333</v>
      </c>
      <c r="AC405" s="8">
        <f t="shared" si="6"/>
        <v>15</v>
      </c>
      <c r="AD405" s="8">
        <f t="shared" si="7"/>
        <v>14.6</v>
      </c>
      <c r="AE405" s="8">
        <f t="shared" si="8"/>
        <v>1.4</v>
      </c>
      <c r="AF405" s="8">
        <f t="shared" si="9"/>
        <v>37.5</v>
      </c>
      <c r="AG405" s="8">
        <f t="shared" si="10"/>
        <v>36.5</v>
      </c>
      <c r="AH405" s="8">
        <f t="shared" si="11"/>
        <v>3.5</v>
      </c>
      <c r="AI405" s="10">
        <f t="shared" si="12"/>
        <v>0.9146341463</v>
      </c>
      <c r="AJ405" s="11">
        <f t="shared" si="13"/>
        <v>0.8902439024</v>
      </c>
      <c r="AK405" s="12">
        <f t="shared" si="14"/>
        <v>0.08536585366</v>
      </c>
    </row>
    <row r="406">
      <c r="A406" s="4" t="s">
        <v>451</v>
      </c>
      <c r="B406" s="4" t="s">
        <v>400</v>
      </c>
      <c r="C406" s="4" t="s">
        <v>92</v>
      </c>
      <c r="D406" s="6">
        <v>233.0</v>
      </c>
      <c r="E406" s="6">
        <v>54.0</v>
      </c>
      <c r="F406" s="6">
        <v>54.0</v>
      </c>
      <c r="G406" s="6">
        <v>233.0</v>
      </c>
      <c r="H406" s="6">
        <v>4.0</v>
      </c>
      <c r="I406" s="6">
        <v>10.0</v>
      </c>
      <c r="J406" s="6">
        <v>145.0</v>
      </c>
      <c r="K406" s="6">
        <v>213.0</v>
      </c>
      <c r="L406" s="4" t="s">
        <v>97</v>
      </c>
      <c r="M406" s="6">
        <v>435.0</v>
      </c>
      <c r="N406" s="6">
        <v>200.0</v>
      </c>
      <c r="O406" s="6">
        <v>820.0</v>
      </c>
      <c r="P406" s="6">
        <v>130.0</v>
      </c>
      <c r="Q406" s="6">
        <v>2.0</v>
      </c>
      <c r="R406" s="6">
        <v>11.0</v>
      </c>
      <c r="S406" s="7"/>
      <c r="T406" s="6">
        <v>10.0</v>
      </c>
      <c r="U406" s="6">
        <v>1968.0</v>
      </c>
      <c r="V406" s="7"/>
      <c r="W406" s="7"/>
      <c r="X406" s="8">
        <f t="shared" si="1"/>
        <v>1.538461538</v>
      </c>
      <c r="Y406" s="9">
        <f t="shared" si="2"/>
        <v>330</v>
      </c>
      <c r="Z406" s="8">
        <f t="shared" si="3"/>
        <v>3.703703704</v>
      </c>
      <c r="AA406" s="8">
        <f t="shared" si="4"/>
        <v>2.407407407</v>
      </c>
      <c r="AB406" s="8">
        <f t="shared" si="5"/>
        <v>0.1851851852</v>
      </c>
      <c r="AC406" s="8">
        <f t="shared" si="6"/>
        <v>20</v>
      </c>
      <c r="AD406" s="8">
        <f t="shared" si="7"/>
        <v>13</v>
      </c>
      <c r="AE406" s="8">
        <f t="shared" si="8"/>
        <v>1</v>
      </c>
      <c r="AF406" s="8">
        <f t="shared" si="9"/>
        <v>50</v>
      </c>
      <c r="AG406" s="8">
        <f t="shared" si="10"/>
        <v>32.5</v>
      </c>
      <c r="AH406" s="8">
        <f t="shared" si="11"/>
        <v>2.5</v>
      </c>
      <c r="AI406" s="10">
        <f t="shared" si="12"/>
        <v>1.379310345</v>
      </c>
      <c r="AJ406" s="11">
        <f t="shared" si="13"/>
        <v>0.8965517241</v>
      </c>
      <c r="AK406" s="12">
        <f t="shared" si="14"/>
        <v>0.06896551724</v>
      </c>
    </row>
    <row r="407">
      <c r="A407" s="4" t="s">
        <v>452</v>
      </c>
      <c r="B407" s="4" t="s">
        <v>400</v>
      </c>
      <c r="C407" s="4" t="s">
        <v>92</v>
      </c>
      <c r="D407" s="6">
        <v>292.0</v>
      </c>
      <c r="E407" s="6">
        <v>68.0</v>
      </c>
      <c r="F407" s="6">
        <v>68.0</v>
      </c>
      <c r="G407" s="6">
        <v>292.0</v>
      </c>
      <c r="H407" s="6">
        <v>4.0</v>
      </c>
      <c r="I407" s="6">
        <v>12.0</v>
      </c>
      <c r="J407" s="6">
        <v>181.0</v>
      </c>
      <c r="K407" s="6">
        <v>213.0</v>
      </c>
      <c r="L407" s="4" t="s">
        <v>97</v>
      </c>
      <c r="M407" s="6">
        <v>435.0</v>
      </c>
      <c r="N407" s="6">
        <v>200.0</v>
      </c>
      <c r="O407" s="6">
        <v>820.0</v>
      </c>
      <c r="P407" s="6">
        <v>150.0</v>
      </c>
      <c r="Q407" s="6">
        <v>2.0</v>
      </c>
      <c r="R407" s="6">
        <v>11.0</v>
      </c>
      <c r="S407" s="7"/>
      <c r="T407" s="6">
        <v>10.0</v>
      </c>
      <c r="U407" s="6">
        <v>1968.0</v>
      </c>
      <c r="V407" s="7"/>
      <c r="W407" s="7"/>
      <c r="X407" s="8">
        <f t="shared" si="1"/>
        <v>1.333333333</v>
      </c>
      <c r="Y407" s="9">
        <f t="shared" si="2"/>
        <v>350</v>
      </c>
      <c r="Z407" s="8">
        <f t="shared" si="3"/>
        <v>2.941176471</v>
      </c>
      <c r="AA407" s="8">
        <f t="shared" si="4"/>
        <v>2.205882353</v>
      </c>
      <c r="AB407" s="8">
        <f t="shared" si="5"/>
        <v>0.1470588235</v>
      </c>
      <c r="AC407" s="8">
        <f t="shared" si="6"/>
        <v>16.66666667</v>
      </c>
      <c r="AD407" s="8">
        <f t="shared" si="7"/>
        <v>12.5</v>
      </c>
      <c r="AE407" s="8">
        <f t="shared" si="8"/>
        <v>0.8333333333</v>
      </c>
      <c r="AF407" s="8">
        <f t="shared" si="9"/>
        <v>50</v>
      </c>
      <c r="AG407" s="8">
        <f t="shared" si="10"/>
        <v>37.5</v>
      </c>
      <c r="AH407" s="8">
        <f t="shared" si="11"/>
        <v>2.5</v>
      </c>
      <c r="AI407" s="10">
        <f t="shared" si="12"/>
        <v>1.104972376</v>
      </c>
      <c r="AJ407" s="11">
        <f t="shared" si="13"/>
        <v>0.8287292818</v>
      </c>
      <c r="AK407" s="12">
        <f t="shared" si="14"/>
        <v>0.05524861878</v>
      </c>
    </row>
    <row r="408">
      <c r="A408" s="4" t="s">
        <v>453</v>
      </c>
      <c r="B408" s="4" t="s">
        <v>400</v>
      </c>
      <c r="C408" s="4" t="s">
        <v>49</v>
      </c>
      <c r="D408" s="6">
        <v>137.0</v>
      </c>
      <c r="E408" s="6">
        <v>31.0</v>
      </c>
      <c r="F408" s="6">
        <v>31.0</v>
      </c>
      <c r="G408" s="6">
        <v>137.0</v>
      </c>
      <c r="H408" s="6">
        <v>1.0</v>
      </c>
      <c r="I408" s="6">
        <v>6.0</v>
      </c>
      <c r="J408" s="6">
        <v>86.0</v>
      </c>
      <c r="K408" s="6">
        <v>254.0</v>
      </c>
      <c r="L408" s="4" t="s">
        <v>97</v>
      </c>
      <c r="M408" s="6">
        <v>165.0</v>
      </c>
      <c r="N408" s="6">
        <v>75.0</v>
      </c>
      <c r="O408" s="6">
        <v>300.0</v>
      </c>
      <c r="P408" s="6">
        <v>40.0</v>
      </c>
      <c r="Q408" s="6">
        <v>1.0</v>
      </c>
      <c r="R408" s="6">
        <v>10.0</v>
      </c>
      <c r="S408" s="7"/>
      <c r="T408" s="6">
        <v>12.0</v>
      </c>
      <c r="U408" s="6">
        <v>1687.0</v>
      </c>
      <c r="V408" s="7"/>
      <c r="W408" s="7"/>
      <c r="X408" s="8">
        <f t="shared" si="1"/>
        <v>1.875</v>
      </c>
      <c r="Y408" s="9">
        <f t="shared" si="2"/>
        <v>115</v>
      </c>
      <c r="Z408" s="8">
        <f t="shared" si="3"/>
        <v>2.419354839</v>
      </c>
      <c r="AA408" s="8">
        <f t="shared" si="4"/>
        <v>1.290322581</v>
      </c>
      <c r="AB408" s="8">
        <f t="shared" si="5"/>
        <v>0.3870967742</v>
      </c>
      <c r="AC408" s="8">
        <f t="shared" si="6"/>
        <v>12.5</v>
      </c>
      <c r="AD408" s="8">
        <f t="shared" si="7"/>
        <v>6.666666667</v>
      </c>
      <c r="AE408" s="8">
        <f t="shared" si="8"/>
        <v>2</v>
      </c>
      <c r="AF408" s="8">
        <f t="shared" si="9"/>
        <v>75</v>
      </c>
      <c r="AG408" s="8">
        <f t="shared" si="10"/>
        <v>40</v>
      </c>
      <c r="AH408" s="8">
        <f t="shared" si="11"/>
        <v>12</v>
      </c>
      <c r="AI408" s="10">
        <f t="shared" si="12"/>
        <v>0.8720930233</v>
      </c>
      <c r="AJ408" s="11">
        <f t="shared" si="13"/>
        <v>0.4651162791</v>
      </c>
      <c r="AK408" s="12">
        <f t="shared" si="14"/>
        <v>0.1395348837</v>
      </c>
    </row>
    <row r="409">
      <c r="A409" s="4" t="s">
        <v>454</v>
      </c>
      <c r="B409" s="4" t="s">
        <v>400</v>
      </c>
      <c r="C409" s="4" t="s">
        <v>49</v>
      </c>
      <c r="D409" s="6">
        <v>176.0</v>
      </c>
      <c r="E409" s="6">
        <v>41.0</v>
      </c>
      <c r="F409" s="6">
        <v>41.0</v>
      </c>
      <c r="G409" s="6">
        <v>176.0</v>
      </c>
      <c r="H409" s="6">
        <v>1.0</v>
      </c>
      <c r="I409" s="6">
        <v>7.0</v>
      </c>
      <c r="J409" s="6">
        <v>147.0</v>
      </c>
      <c r="K409" s="6">
        <v>310.0</v>
      </c>
      <c r="L409" s="4" t="s">
        <v>97</v>
      </c>
      <c r="M409" s="6">
        <v>165.0</v>
      </c>
      <c r="N409" s="6">
        <v>100.0</v>
      </c>
      <c r="O409" s="6">
        <v>300.0</v>
      </c>
      <c r="P409" s="6">
        <v>60.0</v>
      </c>
      <c r="Q409" s="6">
        <v>1.0</v>
      </c>
      <c r="R409" s="6">
        <v>10.0</v>
      </c>
      <c r="S409" s="7"/>
      <c r="T409" s="6">
        <v>12.0</v>
      </c>
      <c r="U409" s="6">
        <v>1687.0</v>
      </c>
      <c r="V409" s="7"/>
      <c r="W409" s="7"/>
      <c r="X409" s="8">
        <f t="shared" si="1"/>
        <v>1.666666667</v>
      </c>
      <c r="Y409" s="9">
        <f t="shared" si="2"/>
        <v>160</v>
      </c>
      <c r="Z409" s="8">
        <f t="shared" si="3"/>
        <v>2.43902439</v>
      </c>
      <c r="AA409" s="8">
        <f t="shared" si="4"/>
        <v>1.463414634</v>
      </c>
      <c r="AB409" s="8">
        <f t="shared" si="5"/>
        <v>0.2926829268</v>
      </c>
      <c r="AC409" s="8">
        <f t="shared" si="6"/>
        <v>14.28571429</v>
      </c>
      <c r="AD409" s="8">
        <f t="shared" si="7"/>
        <v>8.571428571</v>
      </c>
      <c r="AE409" s="8">
        <f t="shared" si="8"/>
        <v>1.714285714</v>
      </c>
      <c r="AF409" s="8">
        <f t="shared" si="9"/>
        <v>100</v>
      </c>
      <c r="AG409" s="8">
        <f t="shared" si="10"/>
        <v>60</v>
      </c>
      <c r="AH409" s="8">
        <f t="shared" si="11"/>
        <v>12</v>
      </c>
      <c r="AI409" s="10">
        <f t="shared" si="12"/>
        <v>0.6802721088</v>
      </c>
      <c r="AJ409" s="11">
        <f t="shared" si="13"/>
        <v>0.4081632653</v>
      </c>
      <c r="AK409" s="12">
        <f t="shared" si="14"/>
        <v>0.08163265306</v>
      </c>
    </row>
    <row r="410">
      <c r="A410" s="4" t="s">
        <v>455</v>
      </c>
      <c r="B410" s="4" t="s">
        <v>400</v>
      </c>
      <c r="C410" s="4" t="s">
        <v>73</v>
      </c>
      <c r="D410" s="6">
        <v>109.0</v>
      </c>
      <c r="E410" s="6">
        <v>25.0</v>
      </c>
      <c r="F410" s="6">
        <v>25.0</v>
      </c>
      <c r="G410" s="6">
        <v>109.0</v>
      </c>
      <c r="H410" s="6">
        <v>1.0</v>
      </c>
      <c r="I410" s="6">
        <v>4.0</v>
      </c>
      <c r="J410" s="6">
        <v>51.0</v>
      </c>
      <c r="K410" s="6">
        <v>294.0</v>
      </c>
      <c r="L410" s="4" t="s">
        <v>97</v>
      </c>
      <c r="M410" s="6">
        <v>225.0</v>
      </c>
      <c r="N410" s="6">
        <v>75.0</v>
      </c>
      <c r="O410" s="6">
        <v>300.0</v>
      </c>
      <c r="P410" s="6">
        <v>71.0</v>
      </c>
      <c r="Q410" s="6">
        <v>1.0</v>
      </c>
      <c r="R410" s="6">
        <v>11.0</v>
      </c>
      <c r="S410" s="7"/>
      <c r="T410" s="6">
        <v>8.0</v>
      </c>
      <c r="U410" s="6">
        <v>1476.0</v>
      </c>
      <c r="V410" s="7"/>
      <c r="W410" s="7"/>
      <c r="X410" s="8">
        <f t="shared" si="1"/>
        <v>1.056338028</v>
      </c>
      <c r="Y410" s="9">
        <f t="shared" si="2"/>
        <v>146</v>
      </c>
      <c r="Z410" s="8">
        <f t="shared" si="3"/>
        <v>3</v>
      </c>
      <c r="AA410" s="8">
        <f t="shared" si="4"/>
        <v>2.84</v>
      </c>
      <c r="AB410" s="8">
        <f t="shared" si="5"/>
        <v>0.32</v>
      </c>
      <c r="AC410" s="8">
        <f t="shared" si="6"/>
        <v>18.75</v>
      </c>
      <c r="AD410" s="8">
        <f t="shared" si="7"/>
        <v>17.75</v>
      </c>
      <c r="AE410" s="8">
        <f t="shared" si="8"/>
        <v>2</v>
      </c>
      <c r="AF410" s="8">
        <f t="shared" si="9"/>
        <v>75</v>
      </c>
      <c r="AG410" s="8">
        <f t="shared" si="10"/>
        <v>71</v>
      </c>
      <c r="AH410" s="8">
        <f t="shared" si="11"/>
        <v>8</v>
      </c>
      <c r="AI410" s="10">
        <f t="shared" si="12"/>
        <v>1.470588235</v>
      </c>
      <c r="AJ410" s="11">
        <f t="shared" si="13"/>
        <v>1.392156863</v>
      </c>
      <c r="AK410" s="12">
        <f t="shared" si="14"/>
        <v>0.1568627451</v>
      </c>
    </row>
    <row r="411">
      <c r="A411" s="4" t="s">
        <v>456</v>
      </c>
      <c r="B411" s="4" t="s">
        <v>400</v>
      </c>
      <c r="C411" s="4" t="s">
        <v>73</v>
      </c>
      <c r="D411" s="6">
        <v>163.0</v>
      </c>
      <c r="E411" s="6">
        <v>38.0</v>
      </c>
      <c r="F411" s="6">
        <v>38.0</v>
      </c>
      <c r="G411" s="6">
        <v>163.0</v>
      </c>
      <c r="H411" s="6">
        <v>1.0</v>
      </c>
      <c r="I411" s="6">
        <v>7.0</v>
      </c>
      <c r="J411" s="6">
        <v>102.0</v>
      </c>
      <c r="K411" s="6">
        <v>350.0</v>
      </c>
      <c r="L411" s="4" t="s">
        <v>97</v>
      </c>
      <c r="M411" s="6">
        <v>225.0</v>
      </c>
      <c r="N411" s="6">
        <v>100.0</v>
      </c>
      <c r="O411" s="6">
        <v>300.0</v>
      </c>
      <c r="P411" s="6">
        <v>100.0</v>
      </c>
      <c r="Q411" s="6">
        <v>1.0</v>
      </c>
      <c r="R411" s="6">
        <v>11.0</v>
      </c>
      <c r="S411" s="7"/>
      <c r="T411" s="6">
        <v>8.0</v>
      </c>
      <c r="U411" s="6">
        <v>1476.0</v>
      </c>
      <c r="V411" s="7"/>
      <c r="W411" s="7"/>
      <c r="X411" s="8">
        <f t="shared" si="1"/>
        <v>1</v>
      </c>
      <c r="Y411" s="9">
        <f t="shared" si="2"/>
        <v>200</v>
      </c>
      <c r="Z411" s="8">
        <f t="shared" si="3"/>
        <v>2.631578947</v>
      </c>
      <c r="AA411" s="8">
        <f t="shared" si="4"/>
        <v>2.631578947</v>
      </c>
      <c r="AB411" s="8">
        <f t="shared" si="5"/>
        <v>0.2105263158</v>
      </c>
      <c r="AC411" s="8">
        <f t="shared" si="6"/>
        <v>14.28571429</v>
      </c>
      <c r="AD411" s="8">
        <f t="shared" si="7"/>
        <v>14.28571429</v>
      </c>
      <c r="AE411" s="8">
        <f t="shared" si="8"/>
        <v>1.142857143</v>
      </c>
      <c r="AF411" s="8">
        <f t="shared" si="9"/>
        <v>100</v>
      </c>
      <c r="AG411" s="8">
        <f t="shared" si="10"/>
        <v>100</v>
      </c>
      <c r="AH411" s="8">
        <f t="shared" si="11"/>
        <v>8</v>
      </c>
      <c r="AI411" s="10">
        <f t="shared" si="12"/>
        <v>0.9803921569</v>
      </c>
      <c r="AJ411" s="11">
        <f t="shared" si="13"/>
        <v>0.9803921569</v>
      </c>
      <c r="AK411" s="12">
        <f t="shared" si="14"/>
        <v>0.07843137255</v>
      </c>
    </row>
    <row r="412">
      <c r="A412" s="4" t="s">
        <v>457</v>
      </c>
      <c r="B412" s="4" t="s">
        <v>400</v>
      </c>
      <c r="C412" s="4" t="s">
        <v>49</v>
      </c>
      <c r="D412" s="6">
        <v>229.0</v>
      </c>
      <c r="E412" s="6">
        <v>54.0</v>
      </c>
      <c r="F412" s="6">
        <v>54.0</v>
      </c>
      <c r="G412" s="6">
        <v>229.0</v>
      </c>
      <c r="H412" s="6">
        <v>1.0</v>
      </c>
      <c r="I412" s="6">
        <v>10.0</v>
      </c>
      <c r="J412" s="6">
        <v>143.0</v>
      </c>
      <c r="K412" s="6">
        <v>267.0</v>
      </c>
      <c r="L412" s="4" t="s">
        <v>97</v>
      </c>
      <c r="M412" s="6">
        <v>315.0</v>
      </c>
      <c r="N412" s="6">
        <v>150.0</v>
      </c>
      <c r="O412" s="6">
        <v>750.0</v>
      </c>
      <c r="P412" s="6">
        <v>100.0</v>
      </c>
      <c r="Q412" s="6">
        <v>2.0</v>
      </c>
      <c r="R412" s="6">
        <v>12.0</v>
      </c>
      <c r="S412" s="7"/>
      <c r="T412" s="6">
        <v>14.0</v>
      </c>
      <c r="U412" s="6">
        <v>1828.0</v>
      </c>
      <c r="V412" s="7"/>
      <c r="W412" s="7"/>
      <c r="X412" s="8">
        <f t="shared" si="1"/>
        <v>1.5</v>
      </c>
      <c r="Y412" s="9">
        <f t="shared" si="2"/>
        <v>250</v>
      </c>
      <c r="Z412" s="8">
        <f t="shared" si="3"/>
        <v>2.777777778</v>
      </c>
      <c r="AA412" s="8">
        <f t="shared" si="4"/>
        <v>1.851851852</v>
      </c>
      <c r="AB412" s="8">
        <f t="shared" si="5"/>
        <v>0.2592592593</v>
      </c>
      <c r="AC412" s="8">
        <f t="shared" si="6"/>
        <v>15</v>
      </c>
      <c r="AD412" s="8">
        <f t="shared" si="7"/>
        <v>10</v>
      </c>
      <c r="AE412" s="8">
        <f t="shared" si="8"/>
        <v>1.4</v>
      </c>
      <c r="AF412" s="8">
        <f t="shared" si="9"/>
        <v>150</v>
      </c>
      <c r="AG412" s="8">
        <f t="shared" si="10"/>
        <v>100</v>
      </c>
      <c r="AH412" s="8">
        <f t="shared" si="11"/>
        <v>14</v>
      </c>
      <c r="AI412" s="10">
        <f t="shared" si="12"/>
        <v>1.048951049</v>
      </c>
      <c r="AJ412" s="11">
        <f t="shared" si="13"/>
        <v>0.6993006993</v>
      </c>
      <c r="AK412" s="12">
        <f t="shared" si="14"/>
        <v>0.0979020979</v>
      </c>
    </row>
  </sheetData>
  <conditionalFormatting sqref="Y1:Z999">
    <cfRule type="colorScale" priority="1">
      <colorScale>
        <cfvo type="min"/>
        <cfvo type="percentile" val="50"/>
        <cfvo type="max"/>
        <color rgb="FFEA4335"/>
        <color rgb="FFFFD666"/>
        <color rgb="FF34A853"/>
      </colorScale>
    </cfRule>
  </conditionalFormatting>
  <conditionalFormatting sqref="AA1:AA999">
    <cfRule type="colorScale" priority="2">
      <colorScale>
        <cfvo type="min"/>
        <cfvo type="percentile" val="50"/>
        <cfvo type="max"/>
        <color rgb="FFEA4335"/>
        <color rgb="FFFFD666"/>
        <color rgb="FF34A853"/>
      </colorScale>
    </cfRule>
  </conditionalFormatting>
  <conditionalFormatting sqref="AB1:AB999">
    <cfRule type="colorScale" priority="3">
      <colorScale>
        <cfvo type="min"/>
        <cfvo type="percentile" val="50"/>
        <cfvo type="max"/>
        <color rgb="FFE67C73"/>
        <color rgb="FFFFD966"/>
        <color rgb="FF57BB8A"/>
      </colorScale>
    </cfRule>
  </conditionalFormatting>
  <conditionalFormatting sqref="AC1:AC999">
    <cfRule type="colorScale" priority="4">
      <colorScale>
        <cfvo type="min"/>
        <cfvo type="percentile" val="50"/>
        <cfvo type="max"/>
        <color rgb="FFEA4335"/>
        <color rgb="FFFFD666"/>
        <color rgb="FF34A853"/>
      </colorScale>
    </cfRule>
  </conditionalFormatting>
  <conditionalFormatting sqref="AD1:AD999">
    <cfRule type="colorScale" priority="5">
      <colorScale>
        <cfvo type="min"/>
        <cfvo type="percentile" val="50"/>
        <cfvo type="max"/>
        <color rgb="FFEA4335"/>
        <color rgb="FFFFD666"/>
        <color rgb="FF34A853"/>
      </colorScale>
    </cfRule>
  </conditionalFormatting>
  <conditionalFormatting sqref="AE1:AE999">
    <cfRule type="colorScale" priority="6">
      <colorScale>
        <cfvo type="min"/>
        <cfvo type="percentile" val="50"/>
        <cfvo type="max"/>
        <color rgb="FFEA4335"/>
        <color rgb="FFFFD666"/>
        <color rgb="FF34A853"/>
      </colorScale>
    </cfRule>
  </conditionalFormatting>
  <conditionalFormatting sqref="AF1:AF999">
    <cfRule type="colorScale" priority="7">
      <colorScale>
        <cfvo type="min"/>
        <cfvo type="percentile" val="50"/>
        <cfvo type="max"/>
        <color rgb="FFEA4335"/>
        <color rgb="FFFBBC04"/>
        <color rgb="FF34A853"/>
      </colorScale>
    </cfRule>
  </conditionalFormatting>
  <conditionalFormatting sqref="AG1:AG999">
    <cfRule type="colorScale" priority="8">
      <colorScale>
        <cfvo type="min"/>
        <cfvo type="percentile" val="50"/>
        <cfvo type="max"/>
        <color rgb="FFEA4335"/>
        <color rgb="FFFBBC04"/>
        <color rgb="FF34A853"/>
      </colorScale>
    </cfRule>
  </conditionalFormatting>
  <conditionalFormatting sqref="AH1:AH999">
    <cfRule type="colorScale" priority="9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AI1:AI999">
    <cfRule type="colorScale" priority="10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AJ1:AJ999">
    <cfRule type="colorScale" priority="11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AK1:AK999">
    <cfRule type="colorScale" priority="12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X1:X999">
    <cfRule type="colorScale" priority="13">
      <colorScale>
        <cfvo type="min"/>
        <cfvo type="percentile" val="50"/>
        <cfvo type="max"/>
        <color rgb="FFEA4335"/>
        <color rgb="FFFFD666"/>
        <color rgb="FF34A85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8.25"/>
  </cols>
  <sheetData>
    <row r="1">
      <c r="A1" s="4" t="s">
        <v>458</v>
      </c>
      <c r="B1" s="4" t="s">
        <v>12</v>
      </c>
      <c r="C1" s="15" t="s">
        <v>459</v>
      </c>
      <c r="D1" s="16" t="s">
        <v>460</v>
      </c>
      <c r="E1" s="16" t="s">
        <v>461</v>
      </c>
      <c r="F1" s="16" t="s">
        <v>462</v>
      </c>
      <c r="G1" s="5" t="s">
        <v>463</v>
      </c>
      <c r="H1" s="4" t="s">
        <v>464</v>
      </c>
      <c r="I1" s="4" t="s">
        <v>465</v>
      </c>
      <c r="J1" s="4" t="s">
        <v>466</v>
      </c>
      <c r="K1" s="4" t="s">
        <v>467</v>
      </c>
      <c r="L1" s="4" t="s">
        <v>468</v>
      </c>
      <c r="M1" s="4" t="s">
        <v>469</v>
      </c>
    </row>
    <row r="2">
      <c r="A2" s="4" t="s">
        <v>470</v>
      </c>
      <c r="B2" s="4" t="s">
        <v>163</v>
      </c>
      <c r="C2" s="13" t="s">
        <v>56</v>
      </c>
      <c r="D2" s="17">
        <v>4.0</v>
      </c>
      <c r="E2" s="17">
        <v>226.0</v>
      </c>
      <c r="F2" s="17">
        <v>679.0</v>
      </c>
      <c r="G2" s="18">
        <f t="shared" ref="G2:G36" si="2">AVERAGE(E2:F2)</f>
        <v>452.5</v>
      </c>
      <c r="H2" s="18">
        <f t="shared" ref="H2:H36" si="3">E2/F2</f>
        <v>0.3328424153</v>
      </c>
      <c r="I2" s="6">
        <v>30.0</v>
      </c>
      <c r="J2" s="18">
        <v>6.76</v>
      </c>
      <c r="K2" s="19">
        <v>2.6</v>
      </c>
      <c r="L2" s="18">
        <f t="shared" ref="L2:M2" si="1">E2/$D2</f>
        <v>56.5</v>
      </c>
      <c r="M2" s="18">
        <f t="shared" si="1"/>
        <v>169.75</v>
      </c>
    </row>
    <row r="3">
      <c r="A3" s="4" t="s">
        <v>471</v>
      </c>
      <c r="B3" s="4" t="s">
        <v>163</v>
      </c>
      <c r="C3" s="13" t="s">
        <v>56</v>
      </c>
      <c r="D3" s="17">
        <v>4.0</v>
      </c>
      <c r="E3" s="17">
        <v>684.0</v>
      </c>
      <c r="F3" s="17">
        <v>228.0</v>
      </c>
      <c r="G3" s="18">
        <f t="shared" si="2"/>
        <v>456</v>
      </c>
      <c r="H3" s="18">
        <f t="shared" si="3"/>
        <v>3</v>
      </c>
      <c r="I3" s="6">
        <v>15.0</v>
      </c>
      <c r="J3" s="18">
        <v>5.94</v>
      </c>
      <c r="K3" s="19">
        <v>2.2</v>
      </c>
      <c r="L3" s="18">
        <f t="shared" ref="L3:M3" si="4">E3/$D3</f>
        <v>171</v>
      </c>
      <c r="M3" s="18">
        <f t="shared" si="4"/>
        <v>57</v>
      </c>
    </row>
    <row r="4">
      <c r="A4" s="4" t="s">
        <v>472</v>
      </c>
      <c r="B4" s="4" t="s">
        <v>163</v>
      </c>
      <c r="C4" s="13" t="s">
        <v>56</v>
      </c>
      <c r="D4" s="17">
        <v>5.0</v>
      </c>
      <c r="E4" s="17">
        <v>617.0</v>
      </c>
      <c r="F4" s="17">
        <v>370.0</v>
      </c>
      <c r="G4" s="18">
        <f t="shared" si="2"/>
        <v>493.5</v>
      </c>
      <c r="H4" s="18">
        <f t="shared" si="3"/>
        <v>1.667567568</v>
      </c>
      <c r="I4" s="6">
        <v>21.0</v>
      </c>
      <c r="J4" s="18">
        <v>4.0</v>
      </c>
      <c r="K4" s="19">
        <v>2.5</v>
      </c>
      <c r="L4" s="18">
        <f t="shared" ref="L4:M4" si="5">E4/$D4</f>
        <v>123.4</v>
      </c>
      <c r="M4" s="18">
        <f t="shared" si="5"/>
        <v>74</v>
      </c>
    </row>
    <row r="5">
      <c r="A5" s="4" t="s">
        <v>473</v>
      </c>
      <c r="B5" s="4" t="s">
        <v>49</v>
      </c>
      <c r="C5" s="13" t="s">
        <v>56</v>
      </c>
      <c r="D5" s="17">
        <v>5.0</v>
      </c>
      <c r="E5" s="17">
        <v>745.0</v>
      </c>
      <c r="F5" s="17">
        <v>248.0</v>
      </c>
      <c r="G5" s="18">
        <f t="shared" si="2"/>
        <v>496.5</v>
      </c>
      <c r="H5" s="18">
        <f t="shared" si="3"/>
        <v>3.004032258</v>
      </c>
      <c r="I5" s="6">
        <v>34.0</v>
      </c>
      <c r="J5" s="18">
        <v>5.0</v>
      </c>
      <c r="K5" s="19">
        <v>2.5</v>
      </c>
      <c r="L5" s="18">
        <f t="shared" ref="L5:M5" si="6">E5/$D5</f>
        <v>149</v>
      </c>
      <c r="M5" s="18">
        <f t="shared" si="6"/>
        <v>49.6</v>
      </c>
    </row>
    <row r="6">
      <c r="A6" s="4" t="s">
        <v>474</v>
      </c>
      <c r="B6" s="4" t="s">
        <v>49</v>
      </c>
      <c r="C6" s="13" t="s">
        <v>56</v>
      </c>
      <c r="D6" s="17">
        <v>5.0</v>
      </c>
      <c r="E6" s="17">
        <v>407.0</v>
      </c>
      <c r="F6" s="17">
        <v>1223.0</v>
      </c>
      <c r="G6" s="18">
        <f t="shared" si="2"/>
        <v>815</v>
      </c>
      <c r="H6" s="18">
        <f t="shared" si="3"/>
        <v>0.3327882257</v>
      </c>
      <c r="I6" s="6">
        <v>27.0</v>
      </c>
      <c r="J6" s="18">
        <v>4.6</v>
      </c>
      <c r="K6" s="19">
        <v>2.0</v>
      </c>
      <c r="L6" s="18">
        <f t="shared" ref="L6:M6" si="7">E6/$D6</f>
        <v>81.4</v>
      </c>
      <c r="M6" s="18">
        <f t="shared" si="7"/>
        <v>244.6</v>
      </c>
    </row>
    <row r="7">
      <c r="A7" s="4" t="s">
        <v>475</v>
      </c>
      <c r="B7" s="4" t="s">
        <v>73</v>
      </c>
      <c r="C7" s="13" t="s">
        <v>56</v>
      </c>
      <c r="D7" s="17">
        <v>6.0</v>
      </c>
      <c r="E7" s="17">
        <v>386.0</v>
      </c>
      <c r="F7" s="17">
        <v>1158.0</v>
      </c>
      <c r="G7" s="18">
        <f t="shared" si="2"/>
        <v>772</v>
      </c>
      <c r="H7" s="18">
        <f t="shared" si="3"/>
        <v>0.3333333333</v>
      </c>
      <c r="I7" s="6">
        <v>19.0</v>
      </c>
      <c r="J7" s="18">
        <v>3.9</v>
      </c>
      <c r="K7" s="19">
        <v>1.5</v>
      </c>
      <c r="L7" s="18">
        <f t="shared" ref="L7:M7" si="8">E7/$D7</f>
        <v>64.33333333</v>
      </c>
      <c r="M7" s="18">
        <f t="shared" si="8"/>
        <v>193</v>
      </c>
    </row>
    <row r="8">
      <c r="A8" s="4" t="s">
        <v>476</v>
      </c>
      <c r="B8" s="4" t="s">
        <v>91</v>
      </c>
      <c r="C8" s="13" t="s">
        <v>56</v>
      </c>
      <c r="D8" s="17">
        <v>7.0</v>
      </c>
      <c r="E8" s="17">
        <v>382.0</v>
      </c>
      <c r="F8" s="17">
        <v>1149.0</v>
      </c>
      <c r="G8" s="18">
        <f t="shared" si="2"/>
        <v>765.5</v>
      </c>
      <c r="H8" s="18">
        <f t="shared" si="3"/>
        <v>0.3324630113</v>
      </c>
      <c r="I8" s="6">
        <v>39.0</v>
      </c>
      <c r="J8" s="18">
        <v>4.5</v>
      </c>
      <c r="K8" s="19">
        <v>1.5</v>
      </c>
      <c r="L8" s="18">
        <f t="shared" ref="L8:M8" si="9">E8/$D8</f>
        <v>54.57142857</v>
      </c>
      <c r="M8" s="18">
        <f t="shared" si="9"/>
        <v>164.1428571</v>
      </c>
    </row>
    <row r="9">
      <c r="A9" s="4" t="s">
        <v>477</v>
      </c>
      <c r="B9" s="4" t="s">
        <v>163</v>
      </c>
      <c r="C9" s="13" t="s">
        <v>56</v>
      </c>
      <c r="D9" s="17">
        <v>9.0</v>
      </c>
      <c r="E9" s="17">
        <v>1320.0</v>
      </c>
      <c r="F9" s="17">
        <v>440.0</v>
      </c>
      <c r="G9" s="18">
        <f t="shared" si="2"/>
        <v>880</v>
      </c>
      <c r="H9" s="18">
        <f t="shared" si="3"/>
        <v>3</v>
      </c>
      <c r="I9" s="6">
        <v>30.0</v>
      </c>
      <c r="J9" s="18">
        <v>3.9</v>
      </c>
      <c r="K9" s="19">
        <v>1.5</v>
      </c>
      <c r="L9" s="18">
        <f t="shared" ref="L9:M9" si="10">E9/$D9</f>
        <v>146.6666667</v>
      </c>
      <c r="M9" s="18">
        <f t="shared" si="10"/>
        <v>48.88888889</v>
      </c>
    </row>
    <row r="10">
      <c r="A10" s="4" t="s">
        <v>478</v>
      </c>
      <c r="B10" s="4" t="s">
        <v>168</v>
      </c>
      <c r="C10" s="13" t="s">
        <v>56</v>
      </c>
      <c r="D10" s="17">
        <v>13.0</v>
      </c>
      <c r="E10" s="17">
        <v>508.0</v>
      </c>
      <c r="F10" s="17">
        <v>1016.0</v>
      </c>
      <c r="G10" s="18">
        <f t="shared" si="2"/>
        <v>762</v>
      </c>
      <c r="H10" s="18">
        <f t="shared" si="3"/>
        <v>0.5</v>
      </c>
      <c r="I10" s="6">
        <v>25.0</v>
      </c>
      <c r="J10" s="18">
        <v>3.45</v>
      </c>
      <c r="K10" s="19">
        <v>1.5</v>
      </c>
      <c r="L10" s="18">
        <f t="shared" ref="L10:M10" si="11">E10/$D10</f>
        <v>39.07692308</v>
      </c>
      <c r="M10" s="18">
        <f t="shared" si="11"/>
        <v>78.15384615</v>
      </c>
    </row>
    <row r="11">
      <c r="A11" s="4" t="s">
        <v>479</v>
      </c>
      <c r="B11" s="4" t="s">
        <v>49</v>
      </c>
      <c r="C11" s="13" t="s">
        <v>56</v>
      </c>
      <c r="D11" s="17">
        <v>15.0</v>
      </c>
      <c r="E11" s="17">
        <v>609.0</v>
      </c>
      <c r="F11" s="17">
        <v>1830.0</v>
      </c>
      <c r="G11" s="18">
        <f t="shared" si="2"/>
        <v>1219.5</v>
      </c>
      <c r="H11" s="18">
        <f t="shared" si="3"/>
        <v>0.3327868852</v>
      </c>
      <c r="I11" s="6">
        <v>21.0</v>
      </c>
      <c r="J11" s="18">
        <v>3.9</v>
      </c>
      <c r="K11" s="19">
        <v>1.5</v>
      </c>
      <c r="L11" s="18">
        <f t="shared" ref="L11:M11" si="12">E11/$D11</f>
        <v>40.6</v>
      </c>
      <c r="M11" s="18">
        <f t="shared" si="12"/>
        <v>122</v>
      </c>
    </row>
    <row r="12">
      <c r="A12" s="4" t="s">
        <v>480</v>
      </c>
      <c r="B12" s="4" t="s">
        <v>163</v>
      </c>
      <c r="C12" s="13" t="s">
        <v>56</v>
      </c>
      <c r="D12" s="17">
        <v>16.0</v>
      </c>
      <c r="E12" s="17">
        <v>516.0</v>
      </c>
      <c r="F12" s="17">
        <v>1550.0</v>
      </c>
      <c r="G12" s="18">
        <f t="shared" si="2"/>
        <v>1033</v>
      </c>
      <c r="H12" s="18">
        <f t="shared" si="3"/>
        <v>0.3329032258</v>
      </c>
      <c r="I12" s="6">
        <v>16.0</v>
      </c>
      <c r="J12" s="18">
        <v>3.9</v>
      </c>
      <c r="K12" s="19">
        <v>1.0</v>
      </c>
      <c r="L12" s="18">
        <f t="shared" ref="L12:M12" si="13">E12/$D12</f>
        <v>32.25</v>
      </c>
      <c r="M12" s="18">
        <f t="shared" si="13"/>
        <v>96.875</v>
      </c>
    </row>
    <row r="13">
      <c r="A13" s="4" t="s">
        <v>481</v>
      </c>
      <c r="B13" s="4" t="s">
        <v>60</v>
      </c>
      <c r="C13" s="13" t="s">
        <v>56</v>
      </c>
      <c r="D13" s="17">
        <v>17.0</v>
      </c>
      <c r="E13" s="17">
        <v>503.0</v>
      </c>
      <c r="F13" s="17">
        <v>1509.0</v>
      </c>
      <c r="G13" s="18">
        <f t="shared" si="2"/>
        <v>1006</v>
      </c>
      <c r="H13" s="18">
        <f t="shared" si="3"/>
        <v>0.3333333333</v>
      </c>
      <c r="I13" s="6">
        <v>13.0</v>
      </c>
      <c r="J13" s="18">
        <v>3.8</v>
      </c>
      <c r="K13" s="19">
        <v>0.5</v>
      </c>
      <c r="L13" s="18">
        <f t="shared" ref="L13:M13" si="14">E13/$D13</f>
        <v>29.58823529</v>
      </c>
      <c r="M13" s="18">
        <f t="shared" si="14"/>
        <v>88.76470588</v>
      </c>
    </row>
    <row r="14">
      <c r="A14" s="4" t="s">
        <v>482</v>
      </c>
      <c r="B14" s="4" t="s">
        <v>64</v>
      </c>
      <c r="C14" s="13" t="s">
        <v>56</v>
      </c>
      <c r="D14" s="17">
        <v>18.0</v>
      </c>
      <c r="E14" s="17">
        <v>375.0</v>
      </c>
      <c r="F14" s="17">
        <v>1687.0</v>
      </c>
      <c r="G14" s="18">
        <f t="shared" si="2"/>
        <v>1031</v>
      </c>
      <c r="H14" s="18">
        <f t="shared" si="3"/>
        <v>0.2222880854</v>
      </c>
      <c r="I14" s="6">
        <v>18.0</v>
      </c>
      <c r="J14" s="18">
        <v>4.05</v>
      </c>
      <c r="K14" s="19">
        <v>1.5</v>
      </c>
      <c r="L14" s="18">
        <f t="shared" ref="L14:M14" si="15">E14/$D14</f>
        <v>20.83333333</v>
      </c>
      <c r="M14" s="18">
        <f t="shared" si="15"/>
        <v>93.72222222</v>
      </c>
    </row>
    <row r="15">
      <c r="A15" s="20" t="s">
        <v>483</v>
      </c>
      <c r="B15" s="20" t="s">
        <v>56</v>
      </c>
      <c r="C15" s="21" t="s">
        <v>56</v>
      </c>
      <c r="D15" s="22">
        <v>19.0</v>
      </c>
      <c r="E15" s="22">
        <v>608.0</v>
      </c>
      <c r="F15" s="22">
        <v>1825.0</v>
      </c>
      <c r="G15" s="23">
        <f t="shared" si="2"/>
        <v>1216.5</v>
      </c>
      <c r="H15" s="23">
        <f t="shared" si="3"/>
        <v>0.3331506849</v>
      </c>
      <c r="I15" s="24">
        <v>19.0</v>
      </c>
      <c r="J15" s="23">
        <v>4.05</v>
      </c>
      <c r="K15" s="25">
        <v>1.5</v>
      </c>
      <c r="L15" s="18">
        <f t="shared" ref="L15:M15" si="16">E15/$D15</f>
        <v>32</v>
      </c>
      <c r="M15" s="18">
        <f t="shared" si="16"/>
        <v>96.05263158</v>
      </c>
    </row>
    <row r="16">
      <c r="A16" s="4" t="s">
        <v>484</v>
      </c>
      <c r="B16" s="4" t="s">
        <v>60</v>
      </c>
      <c r="C16" s="13" t="s">
        <v>211</v>
      </c>
      <c r="D16" s="17">
        <v>20.0</v>
      </c>
      <c r="E16" s="17">
        <v>756.0</v>
      </c>
      <c r="F16" s="17">
        <v>1965.0</v>
      </c>
      <c r="G16" s="18">
        <f t="shared" si="2"/>
        <v>1360.5</v>
      </c>
      <c r="H16" s="18">
        <f t="shared" si="3"/>
        <v>0.3847328244</v>
      </c>
      <c r="I16" s="6">
        <v>15.0</v>
      </c>
      <c r="J16" s="18">
        <v>5.8</v>
      </c>
      <c r="K16" s="19">
        <v>2.0</v>
      </c>
      <c r="L16" s="18">
        <f t="shared" ref="L16:M16" si="17">E16/$D16</f>
        <v>37.8</v>
      </c>
      <c r="M16" s="18">
        <f t="shared" si="17"/>
        <v>98.25</v>
      </c>
    </row>
    <row r="17">
      <c r="A17" s="4" t="s">
        <v>485</v>
      </c>
      <c r="B17" s="4" t="s">
        <v>163</v>
      </c>
      <c r="C17" s="13" t="s">
        <v>211</v>
      </c>
      <c r="D17" s="17">
        <v>21.0</v>
      </c>
      <c r="E17" s="17">
        <v>528.0</v>
      </c>
      <c r="F17" s="17">
        <v>1373.0</v>
      </c>
      <c r="G17" s="18">
        <f t="shared" si="2"/>
        <v>950.5</v>
      </c>
      <c r="H17" s="18">
        <f t="shared" si="3"/>
        <v>0.3845593591</v>
      </c>
      <c r="I17" s="6">
        <v>13.0</v>
      </c>
      <c r="J17" s="18">
        <v>5.4</v>
      </c>
      <c r="K17" s="19">
        <v>2.0</v>
      </c>
      <c r="L17" s="18">
        <f t="shared" ref="L17:M17" si="18">E17/$D17</f>
        <v>25.14285714</v>
      </c>
      <c r="M17" s="18">
        <f t="shared" si="18"/>
        <v>65.38095238</v>
      </c>
    </row>
    <row r="18">
      <c r="A18" s="4" t="s">
        <v>486</v>
      </c>
      <c r="B18" s="4" t="s">
        <v>163</v>
      </c>
      <c r="C18" s="13" t="s">
        <v>211</v>
      </c>
      <c r="D18" s="17">
        <v>22.0</v>
      </c>
      <c r="E18" s="17">
        <v>747.0</v>
      </c>
      <c r="F18" s="17">
        <v>1941.0</v>
      </c>
      <c r="G18" s="18">
        <f t="shared" si="2"/>
        <v>1344</v>
      </c>
      <c r="H18" s="18">
        <f t="shared" si="3"/>
        <v>0.3848531685</v>
      </c>
      <c r="I18" s="6">
        <v>30.0</v>
      </c>
      <c r="J18" s="18">
        <v>5.2</v>
      </c>
      <c r="K18" s="19">
        <v>2.0</v>
      </c>
      <c r="L18" s="18">
        <f t="shared" ref="L18:M18" si="19">E18/$D18</f>
        <v>33.95454545</v>
      </c>
      <c r="M18" s="18">
        <f t="shared" si="19"/>
        <v>88.22727273</v>
      </c>
    </row>
    <row r="19">
      <c r="A19" s="4" t="s">
        <v>487</v>
      </c>
      <c r="B19" s="4" t="s">
        <v>64</v>
      </c>
      <c r="C19" s="13" t="s">
        <v>211</v>
      </c>
      <c r="D19" s="17">
        <v>23.0</v>
      </c>
      <c r="E19" s="17">
        <v>839.0</v>
      </c>
      <c r="F19" s="17">
        <v>2518.0</v>
      </c>
      <c r="G19" s="18">
        <f t="shared" si="2"/>
        <v>1678.5</v>
      </c>
      <c r="H19" s="18">
        <f t="shared" si="3"/>
        <v>0.3332009531</v>
      </c>
      <c r="I19" s="6">
        <v>10.0</v>
      </c>
      <c r="J19" s="18">
        <v>5.55</v>
      </c>
      <c r="K19" s="19">
        <v>1.5</v>
      </c>
      <c r="L19" s="18">
        <f t="shared" ref="L19:M19" si="20">E19/$D19</f>
        <v>36.47826087</v>
      </c>
      <c r="M19" s="18">
        <f t="shared" si="20"/>
        <v>109.4782609</v>
      </c>
    </row>
    <row r="20">
      <c r="A20" s="4" t="s">
        <v>488</v>
      </c>
      <c r="B20" s="4" t="s">
        <v>163</v>
      </c>
      <c r="C20" s="13" t="s">
        <v>211</v>
      </c>
      <c r="D20" s="17">
        <v>23.0</v>
      </c>
      <c r="E20" s="17">
        <v>1262.0</v>
      </c>
      <c r="F20" s="17">
        <v>2526.0</v>
      </c>
      <c r="G20" s="18">
        <f t="shared" si="2"/>
        <v>1894</v>
      </c>
      <c r="H20" s="18">
        <f t="shared" si="3"/>
        <v>0.4996041172</v>
      </c>
      <c r="I20" s="6">
        <v>12.0</v>
      </c>
      <c r="J20" s="18">
        <v>5.4</v>
      </c>
      <c r="K20" s="19">
        <v>2.0</v>
      </c>
      <c r="L20" s="18">
        <f t="shared" ref="L20:M20" si="21">E20/$D20</f>
        <v>54.86956522</v>
      </c>
      <c r="M20" s="18">
        <f t="shared" si="21"/>
        <v>109.826087</v>
      </c>
    </row>
    <row r="21">
      <c r="A21" s="4" t="s">
        <v>489</v>
      </c>
      <c r="B21" s="4" t="s">
        <v>56</v>
      </c>
      <c r="C21" s="13" t="s">
        <v>211</v>
      </c>
      <c r="D21" s="17">
        <v>26.0</v>
      </c>
      <c r="E21" s="17">
        <v>1039.0</v>
      </c>
      <c r="F21" s="17">
        <v>4054.0</v>
      </c>
      <c r="G21" s="18">
        <f t="shared" si="2"/>
        <v>2546.5</v>
      </c>
      <c r="H21" s="18">
        <f t="shared" si="3"/>
        <v>0.2562900839</v>
      </c>
      <c r="I21" s="6">
        <v>21.0</v>
      </c>
      <c r="J21" s="18">
        <v>5.6</v>
      </c>
      <c r="K21" s="19">
        <v>2.0</v>
      </c>
      <c r="L21" s="18">
        <f t="shared" ref="L21:M21" si="22">E21/$D21</f>
        <v>39.96153846</v>
      </c>
      <c r="M21" s="18">
        <f t="shared" si="22"/>
        <v>155.9230769</v>
      </c>
    </row>
    <row r="22">
      <c r="A22" s="4" t="s">
        <v>490</v>
      </c>
      <c r="B22" s="4" t="s">
        <v>171</v>
      </c>
      <c r="C22" s="13" t="s">
        <v>211</v>
      </c>
      <c r="D22" s="17">
        <v>27.0</v>
      </c>
      <c r="E22" s="17">
        <v>2702.0</v>
      </c>
      <c r="F22" s="17">
        <v>5404.0</v>
      </c>
      <c r="G22" s="18">
        <f t="shared" si="2"/>
        <v>4053</v>
      </c>
      <c r="H22" s="18">
        <f t="shared" si="3"/>
        <v>0.5</v>
      </c>
      <c r="I22" s="6">
        <v>27.0</v>
      </c>
      <c r="J22" s="18">
        <v>5.4</v>
      </c>
      <c r="K22" s="19">
        <v>6.0</v>
      </c>
      <c r="L22" s="18">
        <f t="shared" ref="L22:M22" si="23">E22/$D22</f>
        <v>100.0740741</v>
      </c>
      <c r="M22" s="18">
        <f t="shared" si="23"/>
        <v>200.1481481</v>
      </c>
    </row>
    <row r="23">
      <c r="A23" s="4" t="s">
        <v>491</v>
      </c>
      <c r="B23" s="4" t="s">
        <v>91</v>
      </c>
      <c r="C23" s="13" t="s">
        <v>211</v>
      </c>
      <c r="D23" s="17">
        <v>27.0</v>
      </c>
      <c r="E23" s="17">
        <v>1239.0</v>
      </c>
      <c r="F23" s="17">
        <v>3221.0</v>
      </c>
      <c r="G23" s="18">
        <f t="shared" si="2"/>
        <v>2230</v>
      </c>
      <c r="H23" s="18">
        <f t="shared" si="3"/>
        <v>0.3846631481</v>
      </c>
      <c r="I23" s="6">
        <v>15.0</v>
      </c>
      <c r="J23" s="18">
        <v>5.0</v>
      </c>
      <c r="K23" s="19">
        <v>1.0</v>
      </c>
      <c r="L23" s="18">
        <f t="shared" ref="L23:M23" si="24">E23/$D23</f>
        <v>45.88888889</v>
      </c>
      <c r="M23" s="18">
        <f t="shared" si="24"/>
        <v>119.2962963</v>
      </c>
    </row>
    <row r="24">
      <c r="A24" s="4" t="s">
        <v>492</v>
      </c>
      <c r="B24" s="4" t="s">
        <v>73</v>
      </c>
      <c r="C24" s="13" t="s">
        <v>211</v>
      </c>
      <c r="D24" s="17">
        <v>32.0</v>
      </c>
      <c r="E24" s="17">
        <v>1590.0</v>
      </c>
      <c r="F24" s="17">
        <v>4135.0</v>
      </c>
      <c r="G24" s="18">
        <f t="shared" si="2"/>
        <v>2862.5</v>
      </c>
      <c r="H24" s="18">
        <f t="shared" si="3"/>
        <v>0.38452237</v>
      </c>
      <c r="I24" s="6">
        <v>16.0</v>
      </c>
      <c r="J24" s="18">
        <v>5.0</v>
      </c>
      <c r="K24" s="19">
        <v>1.0</v>
      </c>
      <c r="L24" s="18">
        <f t="shared" ref="L24:M24" si="25">E24/$D24</f>
        <v>49.6875</v>
      </c>
      <c r="M24" s="18">
        <f t="shared" si="25"/>
        <v>129.21875</v>
      </c>
    </row>
    <row r="25">
      <c r="A25" s="4" t="s">
        <v>493</v>
      </c>
      <c r="B25" s="4" t="s">
        <v>56</v>
      </c>
      <c r="C25" s="13" t="s">
        <v>211</v>
      </c>
      <c r="D25" s="17">
        <v>37.0</v>
      </c>
      <c r="E25" s="17">
        <v>1507.0</v>
      </c>
      <c r="F25" s="17">
        <v>3902.0</v>
      </c>
      <c r="G25" s="18">
        <f t="shared" si="2"/>
        <v>2704.5</v>
      </c>
      <c r="H25" s="18">
        <f t="shared" si="3"/>
        <v>0.3862121989</v>
      </c>
      <c r="I25" s="6">
        <v>21.0</v>
      </c>
      <c r="J25" s="18">
        <v>6.0</v>
      </c>
      <c r="K25" s="19">
        <v>2.0</v>
      </c>
      <c r="L25" s="18">
        <f t="shared" ref="L25:M25" si="26">E25/$D25</f>
        <v>40.72972973</v>
      </c>
      <c r="M25" s="18">
        <f t="shared" si="26"/>
        <v>105.4594595</v>
      </c>
    </row>
    <row r="26">
      <c r="A26" s="4" t="s">
        <v>494</v>
      </c>
      <c r="B26" s="4" t="s">
        <v>168</v>
      </c>
      <c r="C26" s="13" t="s">
        <v>211</v>
      </c>
      <c r="D26" s="17">
        <v>37.0</v>
      </c>
      <c r="E26" s="17">
        <v>858.0</v>
      </c>
      <c r="F26" s="17">
        <v>1716.0</v>
      </c>
      <c r="G26" s="18">
        <f t="shared" si="2"/>
        <v>1287</v>
      </c>
      <c r="H26" s="18">
        <f t="shared" si="3"/>
        <v>0.5</v>
      </c>
      <c r="I26" s="6">
        <v>4.0</v>
      </c>
      <c r="J26" s="18">
        <v>5.0</v>
      </c>
      <c r="K26" s="19">
        <v>2.0</v>
      </c>
      <c r="L26" s="18">
        <f t="shared" ref="L26:M26" si="27">E26/$D26</f>
        <v>23.18918919</v>
      </c>
      <c r="M26" s="18">
        <f t="shared" si="27"/>
        <v>46.37837838</v>
      </c>
    </row>
    <row r="27">
      <c r="A27" s="20" t="s">
        <v>495</v>
      </c>
      <c r="B27" s="20" t="s">
        <v>49</v>
      </c>
      <c r="C27" s="21" t="s">
        <v>211</v>
      </c>
      <c r="D27" s="22">
        <v>38.0</v>
      </c>
      <c r="E27" s="22">
        <v>1514.0</v>
      </c>
      <c r="F27" s="22">
        <v>3937.0</v>
      </c>
      <c r="G27" s="23">
        <f t="shared" si="2"/>
        <v>2725.5</v>
      </c>
      <c r="H27" s="23">
        <f t="shared" si="3"/>
        <v>0.3845567691</v>
      </c>
      <c r="I27" s="24">
        <v>25.0</v>
      </c>
      <c r="J27" s="23">
        <v>5.6</v>
      </c>
      <c r="K27" s="25">
        <v>2.0</v>
      </c>
      <c r="L27" s="18">
        <f t="shared" ref="L27:M27" si="28">E27/$D27</f>
        <v>39.84210526</v>
      </c>
      <c r="M27" s="18">
        <f t="shared" si="28"/>
        <v>103.6052632</v>
      </c>
    </row>
    <row r="28">
      <c r="A28" s="4" t="s">
        <v>496</v>
      </c>
      <c r="B28" s="4" t="s">
        <v>163</v>
      </c>
      <c r="C28" s="13" t="s">
        <v>97</v>
      </c>
      <c r="D28" s="17">
        <v>30.0</v>
      </c>
      <c r="E28" s="17">
        <v>2168.0</v>
      </c>
      <c r="F28" s="17">
        <v>3845.0</v>
      </c>
      <c r="G28" s="18">
        <f t="shared" si="2"/>
        <v>3006.5</v>
      </c>
      <c r="H28" s="18">
        <f t="shared" si="3"/>
        <v>0.5638491547</v>
      </c>
      <c r="I28" s="6">
        <v>13.0</v>
      </c>
      <c r="J28" s="18">
        <v>18.2</v>
      </c>
      <c r="K28" s="19">
        <v>3.5</v>
      </c>
      <c r="L28" s="18">
        <f t="shared" ref="L28:M28" si="29">E28/$D28</f>
        <v>72.26666667</v>
      </c>
      <c r="M28" s="18">
        <f t="shared" si="29"/>
        <v>128.1666667</v>
      </c>
    </row>
    <row r="29">
      <c r="A29" s="4" t="s">
        <v>497</v>
      </c>
      <c r="B29" s="4" t="s">
        <v>163</v>
      </c>
      <c r="C29" s="13" t="s">
        <v>97</v>
      </c>
      <c r="D29" s="17">
        <v>34.0</v>
      </c>
      <c r="E29" s="17">
        <v>2224.0</v>
      </c>
      <c r="F29" s="17">
        <v>3945.0</v>
      </c>
      <c r="G29" s="18">
        <f t="shared" si="2"/>
        <v>3084.5</v>
      </c>
      <c r="H29" s="18">
        <f t="shared" si="3"/>
        <v>0.5637515843</v>
      </c>
      <c r="I29" s="6">
        <v>19.0</v>
      </c>
      <c r="J29" s="18">
        <v>19.25</v>
      </c>
      <c r="K29" s="19">
        <v>3.5</v>
      </c>
      <c r="L29" s="18">
        <f t="shared" ref="L29:M29" si="30">E29/$D29</f>
        <v>65.41176471</v>
      </c>
      <c r="M29" s="18">
        <f t="shared" si="30"/>
        <v>116.0294118</v>
      </c>
    </row>
    <row r="30">
      <c r="A30" s="4" t="s">
        <v>498</v>
      </c>
      <c r="B30" s="4" t="s">
        <v>60</v>
      </c>
      <c r="C30" s="13" t="s">
        <v>97</v>
      </c>
      <c r="D30" s="17">
        <v>41.0</v>
      </c>
      <c r="E30" s="17">
        <v>3069.0</v>
      </c>
      <c r="F30" s="17">
        <v>5103.0</v>
      </c>
      <c r="G30" s="18">
        <f t="shared" si="2"/>
        <v>4086</v>
      </c>
      <c r="H30" s="18">
        <f t="shared" si="3"/>
        <v>0.6014109347</v>
      </c>
      <c r="I30" s="6">
        <v>89.0</v>
      </c>
      <c r="J30" s="18">
        <v>17.5</v>
      </c>
      <c r="K30" s="19">
        <v>3.5</v>
      </c>
      <c r="L30" s="18">
        <f t="shared" ref="L30:M30" si="31">E30/$D30</f>
        <v>74.85365854</v>
      </c>
      <c r="M30" s="18">
        <f t="shared" si="31"/>
        <v>124.4634146</v>
      </c>
    </row>
    <row r="31">
      <c r="A31" s="4" t="s">
        <v>499</v>
      </c>
      <c r="B31" s="4" t="s">
        <v>73</v>
      </c>
      <c r="C31" s="13" t="s">
        <v>97</v>
      </c>
      <c r="D31" s="17">
        <v>46.0</v>
      </c>
      <c r="E31" s="17">
        <v>3874.0</v>
      </c>
      <c r="F31" s="17">
        <v>4122.0</v>
      </c>
      <c r="G31" s="18">
        <f t="shared" si="2"/>
        <v>3998</v>
      </c>
      <c r="H31" s="18">
        <f t="shared" si="3"/>
        <v>0.9398350315</v>
      </c>
      <c r="I31" s="6">
        <v>75.0</v>
      </c>
      <c r="J31" s="18">
        <v>19.95</v>
      </c>
      <c r="K31" s="19">
        <v>3.5</v>
      </c>
      <c r="L31" s="18">
        <f t="shared" ref="L31:M31" si="32">E31/$D31</f>
        <v>84.2173913</v>
      </c>
      <c r="M31" s="18">
        <f t="shared" si="32"/>
        <v>89.60869565</v>
      </c>
    </row>
    <row r="32">
      <c r="A32" s="4" t="s">
        <v>500</v>
      </c>
      <c r="B32" s="4" t="s">
        <v>91</v>
      </c>
      <c r="C32" s="13" t="s">
        <v>97</v>
      </c>
      <c r="D32" s="17">
        <v>49.0</v>
      </c>
      <c r="E32" s="17">
        <v>3922.0</v>
      </c>
      <c r="F32" s="17">
        <v>5216.0</v>
      </c>
      <c r="G32" s="18">
        <f t="shared" si="2"/>
        <v>4569</v>
      </c>
      <c r="H32" s="18">
        <f t="shared" si="3"/>
        <v>0.7519171779</v>
      </c>
      <c r="I32" s="6">
        <v>60.0</v>
      </c>
      <c r="J32" s="18">
        <v>21.0</v>
      </c>
      <c r="K32" s="19">
        <v>3.5</v>
      </c>
      <c r="L32" s="18">
        <f t="shared" ref="L32:M32" si="33">E32/$D32</f>
        <v>80.04081633</v>
      </c>
      <c r="M32" s="18">
        <f t="shared" si="33"/>
        <v>106.4489796</v>
      </c>
    </row>
    <row r="33">
      <c r="A33" s="4" t="s">
        <v>501</v>
      </c>
      <c r="B33" s="4" t="s">
        <v>56</v>
      </c>
      <c r="C33" s="13" t="s">
        <v>97</v>
      </c>
      <c r="D33" s="17">
        <v>60.0</v>
      </c>
      <c r="E33" s="17">
        <v>4022.0</v>
      </c>
      <c r="F33" s="17">
        <v>5349.0</v>
      </c>
      <c r="G33" s="18">
        <f t="shared" si="2"/>
        <v>4685.5</v>
      </c>
      <c r="H33" s="18">
        <f t="shared" si="3"/>
        <v>0.751916246</v>
      </c>
      <c r="I33" s="6">
        <v>43.0</v>
      </c>
      <c r="J33" s="18">
        <v>16.75</v>
      </c>
      <c r="K33" s="19">
        <v>2.5</v>
      </c>
      <c r="L33" s="18">
        <f t="shared" ref="L33:M33" si="34">E33/$D33</f>
        <v>67.03333333</v>
      </c>
      <c r="M33" s="18">
        <f t="shared" si="34"/>
        <v>89.15</v>
      </c>
    </row>
    <row r="34">
      <c r="A34" s="4" t="s">
        <v>502</v>
      </c>
      <c r="B34" s="4" t="s">
        <v>168</v>
      </c>
      <c r="C34" s="13" t="s">
        <v>97</v>
      </c>
      <c r="D34" s="17">
        <v>74.0</v>
      </c>
      <c r="E34" s="17">
        <v>4706.0</v>
      </c>
      <c r="F34" s="17">
        <v>4706.0</v>
      </c>
      <c r="G34" s="18">
        <f t="shared" si="2"/>
        <v>4706</v>
      </c>
      <c r="H34" s="18">
        <f t="shared" si="3"/>
        <v>1</v>
      </c>
      <c r="I34" s="6">
        <v>3.0</v>
      </c>
      <c r="J34" s="18">
        <v>16.8</v>
      </c>
      <c r="K34" s="19">
        <v>3.5</v>
      </c>
      <c r="L34" s="18">
        <f t="shared" ref="L34:M34" si="35">E34/$D34</f>
        <v>63.59459459</v>
      </c>
      <c r="M34" s="18">
        <f t="shared" si="35"/>
        <v>63.59459459</v>
      </c>
    </row>
    <row r="35">
      <c r="A35" s="4" t="s">
        <v>503</v>
      </c>
      <c r="B35" s="4" t="s">
        <v>64</v>
      </c>
      <c r="C35" s="13" t="s">
        <v>97</v>
      </c>
      <c r="D35" s="17">
        <v>81.0</v>
      </c>
      <c r="E35" s="17">
        <v>4065.0</v>
      </c>
      <c r="F35" s="17">
        <v>8108.0</v>
      </c>
      <c r="G35" s="18">
        <f t="shared" si="2"/>
        <v>6086.5</v>
      </c>
      <c r="H35" s="18">
        <f t="shared" si="3"/>
        <v>0.5013566848</v>
      </c>
      <c r="I35" s="6">
        <v>55.0</v>
      </c>
      <c r="J35" s="18">
        <v>20.1</v>
      </c>
      <c r="K35" s="19">
        <v>3.0</v>
      </c>
      <c r="L35" s="18">
        <f t="shared" ref="L35:M35" si="36">E35/$D35</f>
        <v>50.18518519</v>
      </c>
      <c r="M35" s="18">
        <f t="shared" si="36"/>
        <v>100.0987654</v>
      </c>
    </row>
    <row r="36">
      <c r="A36" s="4" t="s">
        <v>504</v>
      </c>
      <c r="B36" s="4" t="s">
        <v>49</v>
      </c>
      <c r="C36" s="13" t="s">
        <v>97</v>
      </c>
      <c r="D36" s="17">
        <v>106.0</v>
      </c>
      <c r="E36" s="17">
        <v>7782.0</v>
      </c>
      <c r="F36" s="17">
        <v>10350.0</v>
      </c>
      <c r="G36" s="18">
        <f t="shared" si="2"/>
        <v>9066</v>
      </c>
      <c r="H36" s="18">
        <f t="shared" si="3"/>
        <v>0.751884058</v>
      </c>
      <c r="I36" s="6">
        <v>19.0</v>
      </c>
      <c r="J36" s="26">
        <v>21.7</v>
      </c>
      <c r="K36" s="27">
        <v>3.5</v>
      </c>
      <c r="L36" s="18">
        <f t="shared" ref="L36:M36" si="37">E36/$D36</f>
        <v>73.41509434</v>
      </c>
      <c r="M36" s="18">
        <f t="shared" si="37"/>
        <v>97.64150943</v>
      </c>
    </row>
    <row r="37">
      <c r="C37" s="28"/>
      <c r="D37" s="28"/>
      <c r="E37" s="28"/>
      <c r="F37" s="28"/>
    </row>
    <row r="38">
      <c r="C38" s="28"/>
      <c r="D38" s="28"/>
      <c r="E38" s="28"/>
      <c r="F38" s="28"/>
    </row>
    <row r="39">
      <c r="C39" s="28"/>
      <c r="D39" s="28"/>
      <c r="E39" s="28"/>
      <c r="F39" s="28"/>
    </row>
    <row r="40">
      <c r="C40" s="28"/>
      <c r="D40" s="28"/>
      <c r="E40" s="28"/>
      <c r="F40" s="28"/>
    </row>
    <row r="41">
      <c r="C41" s="28"/>
      <c r="D41" s="28"/>
      <c r="E41" s="28"/>
      <c r="F41" s="28"/>
    </row>
    <row r="42">
      <c r="C42" s="28"/>
      <c r="D42" s="28"/>
      <c r="E42" s="28"/>
      <c r="F42" s="28"/>
    </row>
    <row r="43">
      <c r="C43" s="28"/>
      <c r="D43" s="28"/>
      <c r="E43" s="28"/>
      <c r="F43" s="28"/>
    </row>
    <row r="44">
      <c r="C44" s="28"/>
      <c r="D44" s="28"/>
      <c r="E44" s="28"/>
      <c r="F44" s="28"/>
    </row>
    <row r="45">
      <c r="C45" s="28"/>
      <c r="D45" s="28"/>
      <c r="E45" s="28"/>
      <c r="F45" s="28"/>
    </row>
    <row r="46">
      <c r="C46" s="28"/>
      <c r="D46" s="28"/>
      <c r="E46" s="28"/>
      <c r="F46" s="28"/>
    </row>
    <row r="47">
      <c r="C47" s="28"/>
      <c r="D47" s="28"/>
      <c r="E47" s="28"/>
      <c r="F47" s="28"/>
    </row>
    <row r="48">
      <c r="C48" s="28"/>
      <c r="D48" s="28"/>
      <c r="E48" s="28"/>
      <c r="F48" s="28"/>
    </row>
    <row r="49">
      <c r="C49" s="28"/>
      <c r="D49" s="28"/>
      <c r="E49" s="28"/>
      <c r="F49" s="28"/>
    </row>
    <row r="50">
      <c r="C50" s="28"/>
      <c r="D50" s="28"/>
      <c r="E50" s="28"/>
      <c r="F50" s="28"/>
    </row>
    <row r="51">
      <c r="C51" s="28"/>
      <c r="D51" s="28"/>
      <c r="E51" s="28"/>
      <c r="F51" s="28"/>
    </row>
    <row r="52">
      <c r="C52" s="28"/>
      <c r="D52" s="28"/>
      <c r="E52" s="28"/>
      <c r="F52" s="28"/>
    </row>
    <row r="53">
      <c r="C53" s="28"/>
      <c r="D53" s="28"/>
      <c r="E53" s="28"/>
      <c r="F53" s="28"/>
    </row>
    <row r="54">
      <c r="C54" s="28"/>
      <c r="D54" s="28"/>
      <c r="E54" s="28"/>
      <c r="F54" s="28"/>
    </row>
    <row r="55">
      <c r="C55" s="28"/>
      <c r="D55" s="28"/>
      <c r="E55" s="28"/>
      <c r="F55" s="28"/>
    </row>
    <row r="56">
      <c r="C56" s="28"/>
      <c r="D56" s="28"/>
      <c r="E56" s="28"/>
      <c r="F56" s="28"/>
    </row>
    <row r="57">
      <c r="C57" s="28"/>
      <c r="D57" s="28"/>
      <c r="E57" s="28"/>
      <c r="F57" s="28"/>
    </row>
    <row r="58">
      <c r="C58" s="28"/>
      <c r="D58" s="28"/>
      <c r="E58" s="28"/>
      <c r="F58" s="28"/>
    </row>
    <row r="59">
      <c r="C59" s="28"/>
      <c r="D59" s="28"/>
      <c r="E59" s="28"/>
      <c r="F59" s="28"/>
    </row>
    <row r="60">
      <c r="C60" s="28"/>
      <c r="D60" s="28"/>
      <c r="E60" s="28"/>
      <c r="F60" s="28"/>
    </row>
    <row r="61">
      <c r="C61" s="28"/>
      <c r="D61" s="28"/>
      <c r="E61" s="28"/>
      <c r="F61" s="28"/>
    </row>
    <row r="62">
      <c r="C62" s="28"/>
      <c r="D62" s="28"/>
      <c r="E62" s="28"/>
      <c r="F62" s="28"/>
    </row>
    <row r="63">
      <c r="C63" s="28"/>
      <c r="D63" s="28"/>
      <c r="E63" s="28"/>
      <c r="F63" s="28"/>
    </row>
    <row r="64">
      <c r="C64" s="28"/>
      <c r="D64" s="28"/>
      <c r="E64" s="28"/>
      <c r="F64" s="28"/>
    </row>
    <row r="65">
      <c r="C65" s="28"/>
      <c r="D65" s="28"/>
      <c r="E65" s="28"/>
      <c r="F65" s="28"/>
    </row>
    <row r="66">
      <c r="C66" s="28"/>
      <c r="D66" s="28"/>
      <c r="E66" s="28"/>
      <c r="F66" s="28"/>
    </row>
    <row r="67">
      <c r="C67" s="28"/>
      <c r="D67" s="28"/>
      <c r="E67" s="28"/>
      <c r="F67" s="28"/>
    </row>
    <row r="68">
      <c r="C68" s="28"/>
      <c r="D68" s="28"/>
      <c r="E68" s="28"/>
      <c r="F68" s="28"/>
    </row>
    <row r="69">
      <c r="C69" s="28"/>
      <c r="D69" s="28"/>
      <c r="E69" s="28"/>
      <c r="F69" s="28"/>
    </row>
    <row r="70">
      <c r="C70" s="28"/>
      <c r="D70" s="28"/>
      <c r="E70" s="28"/>
      <c r="F70" s="28"/>
    </row>
    <row r="71">
      <c r="C71" s="28"/>
      <c r="D71" s="28"/>
      <c r="E71" s="28"/>
      <c r="F71" s="28"/>
    </row>
    <row r="72">
      <c r="C72" s="28"/>
      <c r="D72" s="28"/>
      <c r="E72" s="28"/>
      <c r="F72" s="28"/>
    </row>
    <row r="73">
      <c r="C73" s="28"/>
      <c r="D73" s="28"/>
      <c r="E73" s="28"/>
      <c r="F73" s="28"/>
    </row>
    <row r="74">
      <c r="C74" s="28"/>
      <c r="D74" s="28"/>
      <c r="E74" s="28"/>
      <c r="F74" s="28"/>
    </row>
    <row r="75">
      <c r="C75" s="28"/>
      <c r="D75" s="28"/>
      <c r="E75" s="28"/>
      <c r="F75" s="28"/>
    </row>
    <row r="76">
      <c r="C76" s="28"/>
      <c r="D76" s="28"/>
      <c r="E76" s="28"/>
      <c r="F76" s="28"/>
    </row>
    <row r="77">
      <c r="C77" s="28"/>
      <c r="D77" s="28"/>
      <c r="E77" s="28"/>
      <c r="F77" s="28"/>
    </row>
    <row r="78">
      <c r="C78" s="28"/>
      <c r="D78" s="28"/>
      <c r="E78" s="28"/>
      <c r="F78" s="28"/>
    </row>
    <row r="79">
      <c r="C79" s="28"/>
      <c r="D79" s="28"/>
      <c r="E79" s="28"/>
      <c r="F79" s="28"/>
    </row>
    <row r="80">
      <c r="C80" s="28"/>
      <c r="D80" s="28"/>
      <c r="E80" s="28"/>
      <c r="F80" s="28"/>
    </row>
    <row r="81">
      <c r="C81" s="28"/>
      <c r="D81" s="28"/>
      <c r="E81" s="28"/>
      <c r="F81" s="28"/>
    </row>
    <row r="82">
      <c r="C82" s="28"/>
      <c r="D82" s="28"/>
      <c r="E82" s="28"/>
      <c r="F82" s="28"/>
    </row>
    <row r="83">
      <c r="C83" s="28"/>
      <c r="D83" s="28"/>
      <c r="E83" s="28"/>
      <c r="F83" s="28"/>
    </row>
    <row r="84">
      <c r="C84" s="28"/>
      <c r="D84" s="28"/>
      <c r="E84" s="28"/>
      <c r="F84" s="28"/>
    </row>
    <row r="85">
      <c r="C85" s="28"/>
      <c r="D85" s="28"/>
      <c r="E85" s="28"/>
      <c r="F85" s="28"/>
    </row>
    <row r="86">
      <c r="C86" s="28"/>
      <c r="D86" s="28"/>
      <c r="E86" s="28"/>
      <c r="F86" s="28"/>
    </row>
    <row r="87">
      <c r="C87" s="28"/>
      <c r="D87" s="28"/>
      <c r="E87" s="28"/>
      <c r="F87" s="28"/>
    </row>
    <row r="88">
      <c r="C88" s="28"/>
      <c r="D88" s="28"/>
      <c r="E88" s="28"/>
      <c r="F88" s="28"/>
    </row>
    <row r="89">
      <c r="C89" s="28"/>
      <c r="D89" s="28"/>
      <c r="E89" s="28"/>
      <c r="F89" s="28"/>
    </row>
    <row r="90">
      <c r="C90" s="28"/>
      <c r="D90" s="28"/>
      <c r="E90" s="28"/>
      <c r="F90" s="28"/>
    </row>
    <row r="91">
      <c r="C91" s="28"/>
      <c r="D91" s="28"/>
      <c r="E91" s="28"/>
      <c r="F91" s="28"/>
    </row>
    <row r="92">
      <c r="C92" s="28"/>
      <c r="D92" s="28"/>
      <c r="E92" s="28"/>
      <c r="F92" s="28"/>
    </row>
    <row r="93">
      <c r="C93" s="28"/>
      <c r="D93" s="28"/>
      <c r="E93" s="28"/>
      <c r="F93" s="28"/>
    </row>
    <row r="94">
      <c r="C94" s="28"/>
      <c r="D94" s="28"/>
      <c r="E94" s="28"/>
      <c r="F94" s="28"/>
    </row>
    <row r="95">
      <c r="C95" s="28"/>
      <c r="D95" s="28"/>
      <c r="E95" s="28"/>
      <c r="F95" s="28"/>
    </row>
    <row r="96">
      <c r="C96" s="28"/>
      <c r="D96" s="28"/>
      <c r="E96" s="28"/>
      <c r="F96" s="28"/>
    </row>
    <row r="97">
      <c r="C97" s="28"/>
      <c r="D97" s="28"/>
      <c r="E97" s="28"/>
      <c r="F97" s="28"/>
    </row>
    <row r="98">
      <c r="C98" s="28"/>
      <c r="D98" s="28"/>
      <c r="E98" s="28"/>
      <c r="F98" s="28"/>
    </row>
    <row r="99">
      <c r="C99" s="28"/>
      <c r="D99" s="28"/>
      <c r="E99" s="28"/>
      <c r="F99" s="28"/>
    </row>
    <row r="100">
      <c r="C100" s="28"/>
      <c r="D100" s="28"/>
      <c r="E100" s="28"/>
      <c r="F100" s="28"/>
    </row>
    <row r="101">
      <c r="C101" s="28"/>
      <c r="D101" s="28"/>
      <c r="E101" s="28"/>
      <c r="F101" s="28"/>
    </row>
    <row r="102">
      <c r="C102" s="28"/>
      <c r="D102" s="28"/>
      <c r="E102" s="28"/>
      <c r="F102" s="28"/>
    </row>
    <row r="103">
      <c r="C103" s="28"/>
      <c r="D103" s="28"/>
      <c r="E103" s="28"/>
      <c r="F103" s="28"/>
    </row>
    <row r="104">
      <c r="C104" s="28"/>
      <c r="D104" s="28"/>
      <c r="E104" s="28"/>
      <c r="F104" s="28"/>
    </row>
    <row r="105">
      <c r="C105" s="28"/>
      <c r="D105" s="28"/>
      <c r="E105" s="28"/>
      <c r="F105" s="28"/>
    </row>
    <row r="106">
      <c r="C106" s="28"/>
      <c r="D106" s="28"/>
      <c r="E106" s="28"/>
      <c r="F106" s="28"/>
    </row>
    <row r="107">
      <c r="C107" s="28"/>
      <c r="D107" s="28"/>
      <c r="E107" s="28"/>
      <c r="F107" s="28"/>
    </row>
    <row r="108">
      <c r="C108" s="28"/>
      <c r="D108" s="28"/>
      <c r="E108" s="28"/>
      <c r="F108" s="28"/>
    </row>
    <row r="109">
      <c r="C109" s="28"/>
      <c r="D109" s="28"/>
      <c r="E109" s="28"/>
      <c r="F109" s="28"/>
    </row>
    <row r="110">
      <c r="C110" s="28"/>
      <c r="D110" s="28"/>
      <c r="E110" s="28"/>
      <c r="F110" s="28"/>
    </row>
    <row r="111">
      <c r="C111" s="28"/>
      <c r="D111" s="28"/>
      <c r="E111" s="28"/>
      <c r="F111" s="28"/>
    </row>
    <row r="112">
      <c r="C112" s="28"/>
      <c r="D112" s="28"/>
      <c r="E112" s="28"/>
      <c r="F112" s="28"/>
    </row>
    <row r="113">
      <c r="C113" s="28"/>
      <c r="D113" s="28"/>
      <c r="E113" s="28"/>
      <c r="F113" s="28"/>
    </row>
    <row r="114">
      <c r="C114" s="28"/>
      <c r="D114" s="28"/>
      <c r="E114" s="28"/>
      <c r="F114" s="28"/>
    </row>
    <row r="115">
      <c r="C115" s="28"/>
      <c r="D115" s="28"/>
      <c r="E115" s="28"/>
      <c r="F115" s="28"/>
    </row>
    <row r="116">
      <c r="C116" s="28"/>
      <c r="D116" s="28"/>
      <c r="E116" s="28"/>
      <c r="F116" s="28"/>
    </row>
    <row r="117">
      <c r="C117" s="28"/>
      <c r="D117" s="28"/>
      <c r="E117" s="28"/>
      <c r="F117" s="28"/>
    </row>
    <row r="118">
      <c r="C118" s="28"/>
      <c r="D118" s="28"/>
      <c r="E118" s="28"/>
      <c r="F118" s="28"/>
    </row>
    <row r="119">
      <c r="C119" s="28"/>
      <c r="D119" s="28"/>
      <c r="E119" s="28"/>
      <c r="F119" s="28"/>
    </row>
    <row r="120">
      <c r="C120" s="28"/>
      <c r="D120" s="28"/>
      <c r="E120" s="28"/>
      <c r="F120" s="28"/>
    </row>
    <row r="121">
      <c r="C121" s="28"/>
      <c r="D121" s="28"/>
      <c r="E121" s="28"/>
      <c r="F121" s="28"/>
    </row>
    <row r="122">
      <c r="C122" s="28"/>
      <c r="D122" s="28"/>
      <c r="E122" s="28"/>
      <c r="F122" s="28"/>
    </row>
    <row r="123">
      <c r="C123" s="28"/>
      <c r="D123" s="28"/>
      <c r="E123" s="28"/>
      <c r="F123" s="28"/>
    </row>
    <row r="124">
      <c r="C124" s="28"/>
      <c r="D124" s="28"/>
      <c r="E124" s="28"/>
      <c r="F124" s="28"/>
    </row>
    <row r="125">
      <c r="C125" s="28"/>
      <c r="D125" s="28"/>
      <c r="E125" s="28"/>
      <c r="F125" s="28"/>
    </row>
    <row r="126">
      <c r="C126" s="28"/>
      <c r="D126" s="28"/>
      <c r="E126" s="28"/>
      <c r="F126" s="28"/>
    </row>
    <row r="127">
      <c r="C127" s="28"/>
      <c r="D127" s="28"/>
      <c r="E127" s="28"/>
      <c r="F127" s="28"/>
    </row>
    <row r="128">
      <c r="C128" s="28"/>
      <c r="D128" s="28"/>
      <c r="E128" s="28"/>
      <c r="F128" s="28"/>
    </row>
    <row r="129">
      <c r="C129" s="28"/>
      <c r="D129" s="28"/>
      <c r="E129" s="28"/>
      <c r="F129" s="28"/>
    </row>
    <row r="130">
      <c r="C130" s="28"/>
      <c r="D130" s="28"/>
      <c r="E130" s="28"/>
      <c r="F130" s="28"/>
    </row>
    <row r="131">
      <c r="C131" s="28"/>
      <c r="D131" s="28"/>
      <c r="E131" s="28"/>
      <c r="F131" s="28"/>
    </row>
    <row r="132">
      <c r="C132" s="28"/>
      <c r="D132" s="28"/>
      <c r="E132" s="28"/>
      <c r="F132" s="28"/>
    </row>
    <row r="133">
      <c r="C133" s="28"/>
      <c r="D133" s="28"/>
      <c r="E133" s="28"/>
      <c r="F133" s="28"/>
    </row>
    <row r="134">
      <c r="C134" s="28"/>
      <c r="D134" s="28"/>
      <c r="E134" s="28"/>
      <c r="F134" s="28"/>
    </row>
    <row r="135">
      <c r="C135" s="28"/>
      <c r="D135" s="28"/>
      <c r="E135" s="28"/>
      <c r="F135" s="28"/>
    </row>
    <row r="136">
      <c r="C136" s="28"/>
      <c r="D136" s="28"/>
      <c r="E136" s="28"/>
      <c r="F136" s="28"/>
    </row>
    <row r="137">
      <c r="C137" s="28"/>
      <c r="D137" s="28"/>
      <c r="E137" s="28"/>
      <c r="F137" s="28"/>
    </row>
    <row r="138">
      <c r="C138" s="28"/>
      <c r="D138" s="28"/>
      <c r="E138" s="28"/>
      <c r="F138" s="28"/>
    </row>
    <row r="139">
      <c r="C139" s="28"/>
      <c r="D139" s="28"/>
      <c r="E139" s="28"/>
      <c r="F139" s="28"/>
    </row>
    <row r="140">
      <c r="C140" s="28"/>
      <c r="D140" s="28"/>
      <c r="E140" s="28"/>
      <c r="F140" s="28"/>
    </row>
    <row r="141">
      <c r="C141" s="28"/>
      <c r="D141" s="28"/>
      <c r="E141" s="28"/>
      <c r="F141" s="28"/>
    </row>
    <row r="142">
      <c r="C142" s="28"/>
      <c r="D142" s="28"/>
      <c r="E142" s="28"/>
      <c r="F142" s="28"/>
    </row>
    <row r="143">
      <c r="C143" s="28"/>
      <c r="D143" s="28"/>
      <c r="E143" s="28"/>
      <c r="F143" s="28"/>
    </row>
    <row r="144">
      <c r="C144" s="28"/>
      <c r="D144" s="28"/>
      <c r="E144" s="28"/>
      <c r="F144" s="28"/>
    </row>
    <row r="145">
      <c r="C145" s="28"/>
      <c r="D145" s="28"/>
      <c r="E145" s="28"/>
      <c r="F145" s="28"/>
    </row>
    <row r="146">
      <c r="C146" s="28"/>
      <c r="D146" s="28"/>
      <c r="E146" s="28"/>
      <c r="F146" s="28"/>
    </row>
    <row r="147">
      <c r="C147" s="28"/>
      <c r="D147" s="28"/>
      <c r="E147" s="28"/>
      <c r="F147" s="28"/>
    </row>
    <row r="148">
      <c r="C148" s="28"/>
      <c r="D148" s="28"/>
      <c r="E148" s="28"/>
      <c r="F148" s="28"/>
    </row>
    <row r="149">
      <c r="C149" s="28"/>
      <c r="D149" s="28"/>
      <c r="E149" s="28"/>
      <c r="F149" s="28"/>
    </row>
    <row r="150">
      <c r="C150" s="28"/>
      <c r="D150" s="28"/>
      <c r="E150" s="28"/>
      <c r="F150" s="28"/>
    </row>
    <row r="151">
      <c r="C151" s="28"/>
      <c r="D151" s="28"/>
      <c r="E151" s="28"/>
      <c r="F151" s="28"/>
    </row>
    <row r="152">
      <c r="C152" s="28"/>
      <c r="D152" s="28"/>
      <c r="E152" s="28"/>
      <c r="F152" s="28"/>
    </row>
    <row r="153">
      <c r="C153" s="28"/>
      <c r="D153" s="28"/>
      <c r="E153" s="28"/>
      <c r="F153" s="28"/>
    </row>
    <row r="154">
      <c r="C154" s="28"/>
      <c r="D154" s="28"/>
      <c r="E154" s="28"/>
      <c r="F154" s="28"/>
    </row>
    <row r="155">
      <c r="C155" s="28"/>
      <c r="D155" s="28"/>
      <c r="E155" s="28"/>
      <c r="F155" s="28"/>
    </row>
    <row r="156">
      <c r="C156" s="28"/>
      <c r="D156" s="28"/>
      <c r="E156" s="28"/>
      <c r="F156" s="28"/>
    </row>
    <row r="157">
      <c r="C157" s="28"/>
      <c r="D157" s="28"/>
      <c r="E157" s="28"/>
      <c r="F157" s="28"/>
    </row>
    <row r="158">
      <c r="C158" s="28"/>
      <c r="D158" s="28"/>
      <c r="E158" s="28"/>
      <c r="F158" s="28"/>
    </row>
    <row r="159">
      <c r="C159" s="28"/>
      <c r="D159" s="28"/>
      <c r="E159" s="28"/>
      <c r="F159" s="28"/>
    </row>
    <row r="160">
      <c r="C160" s="28"/>
      <c r="D160" s="28"/>
      <c r="E160" s="28"/>
      <c r="F160" s="28"/>
    </row>
    <row r="161">
      <c r="C161" s="28"/>
      <c r="D161" s="28"/>
      <c r="E161" s="28"/>
      <c r="F161" s="28"/>
    </row>
    <row r="162">
      <c r="C162" s="28"/>
      <c r="D162" s="28"/>
      <c r="E162" s="28"/>
      <c r="F162" s="28"/>
    </row>
    <row r="163">
      <c r="C163" s="28"/>
      <c r="D163" s="28"/>
      <c r="E163" s="28"/>
      <c r="F163" s="28"/>
    </row>
    <row r="164">
      <c r="C164" s="28"/>
      <c r="D164" s="28"/>
      <c r="E164" s="28"/>
      <c r="F164" s="28"/>
    </row>
    <row r="165">
      <c r="C165" s="28"/>
      <c r="D165" s="28"/>
      <c r="E165" s="28"/>
      <c r="F165" s="28"/>
    </row>
    <row r="166">
      <c r="C166" s="28"/>
      <c r="D166" s="28"/>
      <c r="E166" s="28"/>
      <c r="F166" s="28"/>
    </row>
    <row r="167">
      <c r="C167" s="28"/>
      <c r="D167" s="28"/>
      <c r="E167" s="28"/>
      <c r="F167" s="28"/>
    </row>
    <row r="168">
      <c r="C168" s="28"/>
      <c r="D168" s="28"/>
      <c r="E168" s="28"/>
      <c r="F168" s="28"/>
    </row>
    <row r="169">
      <c r="C169" s="28"/>
      <c r="D169" s="28"/>
      <c r="E169" s="28"/>
      <c r="F169" s="28"/>
    </row>
    <row r="170">
      <c r="C170" s="28"/>
      <c r="D170" s="28"/>
      <c r="E170" s="28"/>
      <c r="F170" s="28"/>
    </row>
    <row r="171">
      <c r="C171" s="28"/>
      <c r="D171" s="28"/>
      <c r="E171" s="28"/>
      <c r="F171" s="28"/>
    </row>
    <row r="172">
      <c r="C172" s="28"/>
      <c r="D172" s="28"/>
      <c r="E172" s="28"/>
      <c r="F172" s="28"/>
    </row>
    <row r="173">
      <c r="C173" s="28"/>
      <c r="D173" s="28"/>
      <c r="E173" s="28"/>
      <c r="F173" s="28"/>
    </row>
    <row r="174">
      <c r="C174" s="28"/>
      <c r="D174" s="28"/>
      <c r="E174" s="28"/>
      <c r="F174" s="28"/>
    </row>
    <row r="175">
      <c r="C175" s="28"/>
      <c r="D175" s="28"/>
      <c r="E175" s="28"/>
      <c r="F175" s="28"/>
    </row>
    <row r="176">
      <c r="C176" s="28"/>
      <c r="D176" s="28"/>
      <c r="E176" s="28"/>
      <c r="F176" s="28"/>
    </row>
    <row r="177">
      <c r="C177" s="28"/>
      <c r="D177" s="28"/>
      <c r="E177" s="28"/>
      <c r="F177" s="28"/>
    </row>
    <row r="178">
      <c r="C178" s="28"/>
      <c r="D178" s="28"/>
      <c r="E178" s="28"/>
      <c r="F178" s="28"/>
    </row>
    <row r="179">
      <c r="C179" s="28"/>
      <c r="D179" s="28"/>
      <c r="E179" s="28"/>
      <c r="F179" s="28"/>
    </row>
    <row r="180">
      <c r="C180" s="28"/>
      <c r="D180" s="28"/>
      <c r="E180" s="28"/>
      <c r="F180" s="28"/>
    </row>
    <row r="181">
      <c r="C181" s="28"/>
      <c r="D181" s="28"/>
      <c r="E181" s="28"/>
      <c r="F181" s="28"/>
    </row>
    <row r="182">
      <c r="C182" s="28"/>
      <c r="D182" s="28"/>
      <c r="E182" s="28"/>
      <c r="F182" s="28"/>
    </row>
    <row r="183">
      <c r="C183" s="28"/>
      <c r="D183" s="28"/>
      <c r="E183" s="28"/>
      <c r="F183" s="28"/>
    </row>
    <row r="184">
      <c r="C184" s="28"/>
      <c r="D184" s="28"/>
      <c r="E184" s="28"/>
      <c r="F184" s="28"/>
    </row>
    <row r="185">
      <c r="C185" s="28"/>
      <c r="D185" s="28"/>
      <c r="E185" s="28"/>
      <c r="F185" s="28"/>
    </row>
    <row r="186">
      <c r="C186" s="28"/>
      <c r="D186" s="28"/>
      <c r="E186" s="28"/>
      <c r="F186" s="28"/>
    </row>
    <row r="187">
      <c r="C187" s="28"/>
      <c r="D187" s="28"/>
      <c r="E187" s="28"/>
      <c r="F187" s="28"/>
    </row>
    <row r="188">
      <c r="C188" s="28"/>
      <c r="D188" s="28"/>
      <c r="E188" s="28"/>
      <c r="F188" s="28"/>
    </row>
    <row r="189">
      <c r="C189" s="28"/>
      <c r="D189" s="28"/>
      <c r="E189" s="28"/>
      <c r="F189" s="28"/>
    </row>
    <row r="190">
      <c r="C190" s="28"/>
      <c r="D190" s="28"/>
      <c r="E190" s="28"/>
      <c r="F190" s="28"/>
    </row>
    <row r="191">
      <c r="C191" s="28"/>
      <c r="D191" s="28"/>
      <c r="E191" s="28"/>
      <c r="F191" s="28"/>
    </row>
    <row r="192">
      <c r="C192" s="28"/>
      <c r="D192" s="28"/>
      <c r="E192" s="28"/>
      <c r="F192" s="28"/>
    </row>
    <row r="193">
      <c r="C193" s="28"/>
      <c r="D193" s="28"/>
      <c r="E193" s="28"/>
      <c r="F193" s="28"/>
    </row>
    <row r="194">
      <c r="C194" s="28"/>
      <c r="D194" s="28"/>
      <c r="E194" s="28"/>
      <c r="F194" s="28"/>
    </row>
    <row r="195">
      <c r="C195" s="28"/>
      <c r="D195" s="28"/>
      <c r="E195" s="28"/>
      <c r="F195" s="28"/>
    </row>
    <row r="196">
      <c r="C196" s="28"/>
      <c r="D196" s="28"/>
      <c r="E196" s="28"/>
      <c r="F196" s="28"/>
    </row>
    <row r="197">
      <c r="C197" s="28"/>
      <c r="D197" s="28"/>
      <c r="E197" s="28"/>
      <c r="F197" s="28"/>
    </row>
    <row r="198">
      <c r="C198" s="28"/>
      <c r="D198" s="28"/>
      <c r="E198" s="28"/>
      <c r="F198" s="28"/>
    </row>
    <row r="199">
      <c r="C199" s="28"/>
      <c r="D199" s="28"/>
      <c r="E199" s="28"/>
      <c r="F199" s="28"/>
    </row>
    <row r="200">
      <c r="C200" s="28"/>
      <c r="D200" s="28"/>
      <c r="E200" s="28"/>
      <c r="F200" s="28"/>
    </row>
    <row r="201">
      <c r="C201" s="28"/>
      <c r="D201" s="28"/>
      <c r="E201" s="28"/>
      <c r="F201" s="28"/>
    </row>
    <row r="202">
      <c r="C202" s="28"/>
      <c r="D202" s="28"/>
      <c r="E202" s="28"/>
      <c r="F202" s="28"/>
    </row>
    <row r="203">
      <c r="C203" s="28"/>
      <c r="D203" s="28"/>
      <c r="E203" s="28"/>
      <c r="F203" s="28"/>
    </row>
    <row r="204">
      <c r="C204" s="28"/>
      <c r="D204" s="28"/>
      <c r="E204" s="28"/>
      <c r="F204" s="28"/>
    </row>
    <row r="205">
      <c r="C205" s="28"/>
      <c r="D205" s="28"/>
      <c r="E205" s="28"/>
      <c r="F205" s="28"/>
    </row>
    <row r="206">
      <c r="C206" s="28"/>
      <c r="D206" s="28"/>
      <c r="E206" s="28"/>
      <c r="F206" s="28"/>
    </row>
    <row r="207">
      <c r="C207" s="28"/>
      <c r="D207" s="28"/>
      <c r="E207" s="28"/>
      <c r="F207" s="28"/>
    </row>
    <row r="208">
      <c r="C208" s="28"/>
      <c r="D208" s="28"/>
      <c r="E208" s="28"/>
      <c r="F208" s="28"/>
    </row>
    <row r="209">
      <c r="C209" s="28"/>
      <c r="D209" s="28"/>
      <c r="E209" s="28"/>
      <c r="F209" s="28"/>
    </row>
    <row r="210">
      <c r="C210" s="28"/>
      <c r="D210" s="28"/>
      <c r="E210" s="28"/>
      <c r="F210" s="28"/>
    </row>
    <row r="211">
      <c r="C211" s="28"/>
      <c r="D211" s="28"/>
      <c r="E211" s="28"/>
      <c r="F211" s="28"/>
    </row>
    <row r="212">
      <c r="C212" s="28"/>
      <c r="D212" s="28"/>
      <c r="E212" s="28"/>
      <c r="F212" s="28"/>
    </row>
    <row r="213">
      <c r="C213" s="28"/>
      <c r="D213" s="28"/>
      <c r="E213" s="28"/>
      <c r="F213" s="28"/>
    </row>
    <row r="214">
      <c r="C214" s="28"/>
      <c r="D214" s="28"/>
      <c r="E214" s="28"/>
      <c r="F214" s="28"/>
    </row>
    <row r="215">
      <c r="C215" s="28"/>
      <c r="D215" s="28"/>
      <c r="E215" s="28"/>
      <c r="F215" s="28"/>
    </row>
    <row r="216">
      <c r="C216" s="28"/>
      <c r="D216" s="28"/>
      <c r="E216" s="28"/>
      <c r="F216" s="28"/>
    </row>
    <row r="217">
      <c r="C217" s="28"/>
      <c r="D217" s="28"/>
      <c r="E217" s="28"/>
      <c r="F217" s="28"/>
    </row>
    <row r="218">
      <c r="C218" s="28"/>
      <c r="D218" s="28"/>
      <c r="E218" s="28"/>
      <c r="F218" s="28"/>
    </row>
    <row r="219">
      <c r="C219" s="28"/>
      <c r="D219" s="28"/>
      <c r="E219" s="28"/>
      <c r="F219" s="28"/>
    </row>
    <row r="220">
      <c r="C220" s="28"/>
      <c r="D220" s="28"/>
      <c r="E220" s="28"/>
      <c r="F220" s="28"/>
    </row>
    <row r="221">
      <c r="C221" s="28"/>
      <c r="D221" s="28"/>
      <c r="E221" s="28"/>
      <c r="F221" s="28"/>
    </row>
    <row r="222">
      <c r="C222" s="28"/>
      <c r="D222" s="28"/>
      <c r="E222" s="28"/>
      <c r="F222" s="28"/>
    </row>
    <row r="223">
      <c r="C223" s="28"/>
      <c r="D223" s="28"/>
      <c r="E223" s="28"/>
      <c r="F223" s="28"/>
    </row>
    <row r="224">
      <c r="C224" s="28"/>
      <c r="D224" s="28"/>
      <c r="E224" s="28"/>
      <c r="F224" s="28"/>
    </row>
    <row r="225">
      <c r="C225" s="28"/>
      <c r="D225" s="28"/>
      <c r="E225" s="28"/>
      <c r="F225" s="28"/>
    </row>
    <row r="226">
      <c r="C226" s="28"/>
      <c r="D226" s="28"/>
      <c r="E226" s="28"/>
      <c r="F226" s="28"/>
    </row>
    <row r="227">
      <c r="C227" s="28"/>
      <c r="D227" s="28"/>
      <c r="E227" s="28"/>
      <c r="F227" s="28"/>
    </row>
    <row r="228">
      <c r="C228" s="28"/>
      <c r="D228" s="28"/>
      <c r="E228" s="28"/>
      <c r="F228" s="28"/>
    </row>
    <row r="229">
      <c r="C229" s="28"/>
      <c r="D229" s="28"/>
      <c r="E229" s="28"/>
      <c r="F229" s="28"/>
    </row>
    <row r="230">
      <c r="C230" s="28"/>
      <c r="D230" s="28"/>
      <c r="E230" s="28"/>
      <c r="F230" s="28"/>
    </row>
    <row r="231">
      <c r="C231" s="28"/>
      <c r="D231" s="28"/>
      <c r="E231" s="28"/>
      <c r="F231" s="28"/>
    </row>
    <row r="232">
      <c r="C232" s="28"/>
      <c r="D232" s="28"/>
      <c r="E232" s="28"/>
      <c r="F232" s="28"/>
    </row>
    <row r="233">
      <c r="C233" s="28"/>
      <c r="D233" s="28"/>
      <c r="E233" s="28"/>
      <c r="F233" s="28"/>
    </row>
    <row r="234">
      <c r="C234" s="28"/>
      <c r="D234" s="28"/>
      <c r="E234" s="28"/>
      <c r="F234" s="28"/>
    </row>
    <row r="235">
      <c r="C235" s="28"/>
      <c r="D235" s="28"/>
      <c r="E235" s="28"/>
      <c r="F235" s="28"/>
    </row>
    <row r="236">
      <c r="C236" s="28"/>
      <c r="D236" s="28"/>
      <c r="E236" s="28"/>
      <c r="F236" s="28"/>
    </row>
    <row r="237">
      <c r="C237" s="28"/>
      <c r="D237" s="28"/>
      <c r="E237" s="28"/>
      <c r="F237" s="28"/>
    </row>
    <row r="238">
      <c r="C238" s="28"/>
      <c r="D238" s="28"/>
      <c r="E238" s="28"/>
      <c r="F238" s="28"/>
    </row>
    <row r="239">
      <c r="C239" s="28"/>
      <c r="D239" s="28"/>
      <c r="E239" s="28"/>
      <c r="F239" s="28"/>
    </row>
    <row r="240">
      <c r="C240" s="28"/>
      <c r="D240" s="28"/>
      <c r="E240" s="28"/>
      <c r="F240" s="28"/>
    </row>
    <row r="241">
      <c r="C241" s="28"/>
      <c r="D241" s="28"/>
      <c r="E241" s="28"/>
      <c r="F241" s="28"/>
    </row>
    <row r="242">
      <c r="C242" s="28"/>
      <c r="D242" s="28"/>
      <c r="E242" s="28"/>
      <c r="F242" s="28"/>
    </row>
    <row r="243">
      <c r="C243" s="28"/>
      <c r="D243" s="28"/>
      <c r="E243" s="28"/>
      <c r="F243" s="28"/>
    </row>
    <row r="244">
      <c r="C244" s="28"/>
      <c r="D244" s="28"/>
      <c r="E244" s="28"/>
      <c r="F244" s="28"/>
    </row>
    <row r="245">
      <c r="C245" s="28"/>
      <c r="D245" s="28"/>
      <c r="E245" s="28"/>
      <c r="F245" s="28"/>
    </row>
    <row r="246">
      <c r="C246" s="28"/>
      <c r="D246" s="28"/>
      <c r="E246" s="28"/>
      <c r="F246" s="28"/>
    </row>
    <row r="247">
      <c r="C247" s="28"/>
      <c r="D247" s="28"/>
      <c r="E247" s="28"/>
      <c r="F247" s="28"/>
    </row>
    <row r="248">
      <c r="C248" s="28"/>
      <c r="D248" s="28"/>
      <c r="E248" s="28"/>
      <c r="F248" s="28"/>
    </row>
    <row r="249">
      <c r="C249" s="28"/>
      <c r="D249" s="28"/>
      <c r="E249" s="28"/>
      <c r="F249" s="28"/>
    </row>
    <row r="250">
      <c r="C250" s="28"/>
      <c r="D250" s="28"/>
      <c r="E250" s="28"/>
      <c r="F250" s="28"/>
    </row>
    <row r="251">
      <c r="C251" s="28"/>
      <c r="D251" s="28"/>
      <c r="E251" s="28"/>
      <c r="F251" s="28"/>
    </row>
    <row r="252">
      <c r="C252" s="28"/>
      <c r="D252" s="28"/>
      <c r="E252" s="28"/>
      <c r="F252" s="28"/>
    </row>
    <row r="253">
      <c r="C253" s="28"/>
      <c r="D253" s="28"/>
      <c r="E253" s="28"/>
      <c r="F253" s="28"/>
    </row>
    <row r="254">
      <c r="C254" s="28"/>
      <c r="D254" s="28"/>
      <c r="E254" s="28"/>
      <c r="F254" s="28"/>
    </row>
    <row r="255">
      <c r="C255" s="28"/>
      <c r="D255" s="28"/>
      <c r="E255" s="28"/>
      <c r="F255" s="28"/>
    </row>
    <row r="256">
      <c r="C256" s="28"/>
      <c r="D256" s="28"/>
      <c r="E256" s="28"/>
      <c r="F256" s="28"/>
    </row>
    <row r="257">
      <c r="C257" s="28"/>
      <c r="D257" s="28"/>
      <c r="E257" s="28"/>
      <c r="F257" s="28"/>
    </row>
    <row r="258">
      <c r="C258" s="28"/>
      <c r="D258" s="28"/>
      <c r="E258" s="28"/>
      <c r="F258" s="28"/>
    </row>
    <row r="259">
      <c r="C259" s="28"/>
      <c r="D259" s="28"/>
      <c r="E259" s="28"/>
      <c r="F259" s="28"/>
    </row>
    <row r="260">
      <c r="C260" s="28"/>
      <c r="D260" s="28"/>
      <c r="E260" s="28"/>
      <c r="F260" s="28"/>
    </row>
    <row r="261">
      <c r="C261" s="28"/>
      <c r="D261" s="28"/>
      <c r="E261" s="28"/>
      <c r="F261" s="28"/>
    </row>
    <row r="262">
      <c r="C262" s="28"/>
      <c r="D262" s="28"/>
      <c r="E262" s="28"/>
      <c r="F262" s="28"/>
    </row>
    <row r="263">
      <c r="C263" s="28"/>
      <c r="D263" s="28"/>
      <c r="E263" s="28"/>
      <c r="F263" s="28"/>
    </row>
    <row r="264">
      <c r="C264" s="28"/>
      <c r="D264" s="28"/>
      <c r="E264" s="28"/>
      <c r="F264" s="28"/>
    </row>
    <row r="265">
      <c r="C265" s="28"/>
      <c r="D265" s="28"/>
      <c r="E265" s="28"/>
      <c r="F265" s="28"/>
    </row>
    <row r="266">
      <c r="C266" s="28"/>
      <c r="D266" s="28"/>
      <c r="E266" s="28"/>
      <c r="F266" s="28"/>
    </row>
    <row r="267">
      <c r="C267" s="28"/>
      <c r="D267" s="28"/>
      <c r="E267" s="28"/>
      <c r="F267" s="28"/>
    </row>
    <row r="268">
      <c r="C268" s="28"/>
      <c r="D268" s="28"/>
      <c r="E268" s="28"/>
      <c r="F268" s="28"/>
    </row>
    <row r="269">
      <c r="C269" s="28"/>
      <c r="D269" s="28"/>
      <c r="E269" s="28"/>
      <c r="F269" s="28"/>
    </row>
    <row r="270">
      <c r="C270" s="28"/>
      <c r="D270" s="28"/>
      <c r="E270" s="28"/>
      <c r="F270" s="28"/>
    </row>
    <row r="271">
      <c r="C271" s="28"/>
      <c r="D271" s="28"/>
      <c r="E271" s="28"/>
      <c r="F271" s="28"/>
    </row>
    <row r="272">
      <c r="C272" s="28"/>
      <c r="D272" s="28"/>
      <c r="E272" s="28"/>
      <c r="F272" s="28"/>
    </row>
    <row r="273">
      <c r="C273" s="28"/>
      <c r="D273" s="28"/>
      <c r="E273" s="28"/>
      <c r="F273" s="28"/>
    </row>
    <row r="274">
      <c r="C274" s="28"/>
      <c r="D274" s="28"/>
      <c r="E274" s="28"/>
      <c r="F274" s="28"/>
    </row>
    <row r="275">
      <c r="C275" s="28"/>
      <c r="D275" s="28"/>
      <c r="E275" s="28"/>
      <c r="F275" s="28"/>
    </row>
    <row r="276">
      <c r="C276" s="28"/>
      <c r="D276" s="28"/>
      <c r="E276" s="28"/>
      <c r="F276" s="28"/>
    </row>
    <row r="277">
      <c r="C277" s="28"/>
      <c r="D277" s="28"/>
      <c r="E277" s="28"/>
      <c r="F277" s="28"/>
    </row>
    <row r="278">
      <c r="C278" s="28"/>
      <c r="D278" s="28"/>
      <c r="E278" s="28"/>
      <c r="F278" s="28"/>
    </row>
    <row r="279">
      <c r="C279" s="28"/>
      <c r="D279" s="28"/>
      <c r="E279" s="28"/>
      <c r="F279" s="28"/>
    </row>
    <row r="280">
      <c r="C280" s="28"/>
      <c r="D280" s="28"/>
      <c r="E280" s="28"/>
      <c r="F280" s="28"/>
    </row>
    <row r="281">
      <c r="C281" s="28"/>
      <c r="D281" s="28"/>
      <c r="E281" s="28"/>
      <c r="F281" s="28"/>
    </row>
    <row r="282">
      <c r="C282" s="28"/>
      <c r="D282" s="28"/>
      <c r="E282" s="28"/>
      <c r="F282" s="28"/>
    </row>
    <row r="283">
      <c r="C283" s="28"/>
      <c r="D283" s="28"/>
      <c r="E283" s="28"/>
      <c r="F283" s="28"/>
    </row>
    <row r="284">
      <c r="C284" s="28"/>
      <c r="D284" s="28"/>
      <c r="E284" s="28"/>
      <c r="F284" s="28"/>
    </row>
    <row r="285">
      <c r="C285" s="28"/>
      <c r="D285" s="28"/>
      <c r="E285" s="28"/>
      <c r="F285" s="28"/>
    </row>
    <row r="286">
      <c r="C286" s="28"/>
      <c r="D286" s="28"/>
      <c r="E286" s="28"/>
      <c r="F286" s="28"/>
    </row>
    <row r="287">
      <c r="C287" s="28"/>
      <c r="D287" s="28"/>
      <c r="E287" s="28"/>
      <c r="F287" s="28"/>
    </row>
    <row r="288">
      <c r="C288" s="28"/>
      <c r="D288" s="28"/>
      <c r="E288" s="28"/>
      <c r="F288" s="28"/>
    </row>
    <row r="289">
      <c r="C289" s="28"/>
      <c r="D289" s="28"/>
      <c r="E289" s="28"/>
      <c r="F289" s="28"/>
    </row>
    <row r="290">
      <c r="C290" s="28"/>
      <c r="D290" s="28"/>
      <c r="E290" s="28"/>
      <c r="F290" s="28"/>
    </row>
    <row r="291">
      <c r="C291" s="28"/>
      <c r="D291" s="28"/>
      <c r="E291" s="28"/>
      <c r="F291" s="28"/>
    </row>
    <row r="292">
      <c r="C292" s="28"/>
      <c r="D292" s="28"/>
      <c r="E292" s="28"/>
      <c r="F292" s="28"/>
    </row>
    <row r="293">
      <c r="C293" s="28"/>
      <c r="D293" s="28"/>
      <c r="E293" s="28"/>
      <c r="F293" s="28"/>
    </row>
    <row r="294">
      <c r="C294" s="28"/>
      <c r="D294" s="28"/>
      <c r="E294" s="28"/>
      <c r="F294" s="28"/>
    </row>
    <row r="295">
      <c r="C295" s="28"/>
      <c r="D295" s="28"/>
      <c r="E295" s="28"/>
      <c r="F295" s="28"/>
    </row>
    <row r="296">
      <c r="C296" s="28"/>
      <c r="D296" s="28"/>
      <c r="E296" s="28"/>
      <c r="F296" s="28"/>
    </row>
    <row r="297">
      <c r="C297" s="28"/>
      <c r="D297" s="28"/>
      <c r="E297" s="28"/>
      <c r="F297" s="28"/>
    </row>
    <row r="298">
      <c r="C298" s="28"/>
      <c r="D298" s="28"/>
      <c r="E298" s="28"/>
      <c r="F298" s="28"/>
    </row>
    <row r="299">
      <c r="C299" s="28"/>
      <c r="D299" s="28"/>
      <c r="E299" s="28"/>
      <c r="F299" s="28"/>
    </row>
    <row r="300">
      <c r="C300" s="28"/>
      <c r="D300" s="28"/>
      <c r="E300" s="28"/>
      <c r="F300" s="28"/>
    </row>
    <row r="301">
      <c r="C301" s="28"/>
      <c r="D301" s="28"/>
      <c r="E301" s="28"/>
      <c r="F301" s="28"/>
    </row>
    <row r="302">
      <c r="C302" s="28"/>
      <c r="D302" s="28"/>
      <c r="E302" s="28"/>
      <c r="F302" s="28"/>
    </row>
    <row r="303">
      <c r="C303" s="28"/>
      <c r="D303" s="28"/>
      <c r="E303" s="28"/>
      <c r="F303" s="28"/>
    </row>
    <row r="304">
      <c r="C304" s="28"/>
      <c r="D304" s="28"/>
      <c r="E304" s="28"/>
      <c r="F304" s="28"/>
    </row>
    <row r="305">
      <c r="C305" s="28"/>
      <c r="D305" s="28"/>
      <c r="E305" s="28"/>
      <c r="F305" s="28"/>
    </row>
    <row r="306">
      <c r="C306" s="28"/>
      <c r="D306" s="28"/>
      <c r="E306" s="28"/>
      <c r="F306" s="28"/>
    </row>
    <row r="307">
      <c r="C307" s="28"/>
      <c r="D307" s="28"/>
      <c r="E307" s="28"/>
      <c r="F307" s="28"/>
    </row>
    <row r="308">
      <c r="C308" s="28"/>
      <c r="D308" s="28"/>
      <c r="E308" s="28"/>
      <c r="F308" s="28"/>
    </row>
    <row r="309">
      <c r="C309" s="28"/>
      <c r="D309" s="28"/>
      <c r="E309" s="28"/>
      <c r="F309" s="28"/>
    </row>
    <row r="310">
      <c r="C310" s="28"/>
      <c r="D310" s="28"/>
      <c r="E310" s="28"/>
      <c r="F310" s="28"/>
    </row>
    <row r="311">
      <c r="C311" s="28"/>
      <c r="D311" s="28"/>
      <c r="E311" s="28"/>
      <c r="F311" s="28"/>
    </row>
    <row r="312">
      <c r="C312" s="28"/>
      <c r="D312" s="28"/>
      <c r="E312" s="28"/>
      <c r="F312" s="28"/>
    </row>
    <row r="313">
      <c r="C313" s="28"/>
      <c r="D313" s="28"/>
      <c r="E313" s="28"/>
      <c r="F313" s="28"/>
    </row>
    <row r="314">
      <c r="C314" s="28"/>
      <c r="D314" s="28"/>
      <c r="E314" s="28"/>
      <c r="F314" s="28"/>
    </row>
    <row r="315">
      <c r="C315" s="28"/>
      <c r="D315" s="28"/>
      <c r="E315" s="28"/>
      <c r="F315" s="28"/>
    </row>
    <row r="316">
      <c r="C316" s="28"/>
      <c r="D316" s="28"/>
      <c r="E316" s="28"/>
      <c r="F316" s="28"/>
    </row>
    <row r="317">
      <c r="C317" s="28"/>
      <c r="D317" s="28"/>
      <c r="E317" s="28"/>
      <c r="F317" s="28"/>
    </row>
    <row r="318">
      <c r="C318" s="28"/>
      <c r="D318" s="28"/>
      <c r="E318" s="28"/>
      <c r="F318" s="28"/>
    </row>
    <row r="319">
      <c r="C319" s="28"/>
      <c r="D319" s="28"/>
      <c r="E319" s="28"/>
      <c r="F319" s="28"/>
    </row>
    <row r="320">
      <c r="C320" s="28"/>
      <c r="D320" s="28"/>
      <c r="E320" s="28"/>
      <c r="F320" s="28"/>
    </row>
    <row r="321">
      <c r="C321" s="28"/>
      <c r="D321" s="28"/>
      <c r="E321" s="28"/>
      <c r="F321" s="28"/>
    </row>
    <row r="322">
      <c r="C322" s="28"/>
      <c r="D322" s="28"/>
      <c r="E322" s="28"/>
      <c r="F322" s="28"/>
    </row>
    <row r="323">
      <c r="C323" s="28"/>
      <c r="D323" s="28"/>
      <c r="E323" s="28"/>
      <c r="F323" s="28"/>
    </row>
    <row r="324">
      <c r="C324" s="28"/>
      <c r="D324" s="28"/>
      <c r="E324" s="28"/>
      <c r="F324" s="28"/>
    </row>
    <row r="325">
      <c r="C325" s="28"/>
      <c r="D325" s="28"/>
      <c r="E325" s="28"/>
      <c r="F325" s="28"/>
    </row>
    <row r="326">
      <c r="C326" s="28"/>
      <c r="D326" s="28"/>
      <c r="E326" s="28"/>
      <c r="F326" s="28"/>
    </row>
    <row r="327">
      <c r="C327" s="28"/>
      <c r="D327" s="28"/>
      <c r="E327" s="28"/>
      <c r="F327" s="28"/>
    </row>
    <row r="328">
      <c r="C328" s="28"/>
      <c r="D328" s="28"/>
      <c r="E328" s="28"/>
      <c r="F328" s="28"/>
    </row>
    <row r="329">
      <c r="C329" s="28"/>
      <c r="D329" s="28"/>
      <c r="E329" s="28"/>
      <c r="F329" s="28"/>
    </row>
    <row r="330">
      <c r="C330" s="28"/>
      <c r="D330" s="28"/>
      <c r="E330" s="28"/>
      <c r="F330" s="28"/>
    </row>
    <row r="331">
      <c r="C331" s="28"/>
      <c r="D331" s="28"/>
      <c r="E331" s="28"/>
      <c r="F331" s="28"/>
    </row>
    <row r="332">
      <c r="C332" s="28"/>
      <c r="D332" s="28"/>
      <c r="E332" s="28"/>
      <c r="F332" s="28"/>
    </row>
    <row r="333">
      <c r="C333" s="28"/>
      <c r="D333" s="28"/>
      <c r="E333" s="28"/>
      <c r="F333" s="28"/>
    </row>
    <row r="334">
      <c r="C334" s="28"/>
      <c r="D334" s="28"/>
      <c r="E334" s="28"/>
      <c r="F334" s="28"/>
    </row>
    <row r="335">
      <c r="C335" s="28"/>
      <c r="D335" s="28"/>
      <c r="E335" s="28"/>
      <c r="F335" s="28"/>
    </row>
    <row r="336">
      <c r="C336" s="28"/>
      <c r="D336" s="28"/>
      <c r="E336" s="28"/>
      <c r="F336" s="28"/>
    </row>
    <row r="337">
      <c r="C337" s="28"/>
      <c r="D337" s="28"/>
      <c r="E337" s="28"/>
      <c r="F337" s="28"/>
    </row>
    <row r="338">
      <c r="C338" s="28"/>
      <c r="D338" s="28"/>
      <c r="E338" s="28"/>
      <c r="F338" s="28"/>
    </row>
    <row r="339">
      <c r="C339" s="28"/>
      <c r="D339" s="28"/>
      <c r="E339" s="28"/>
      <c r="F339" s="28"/>
    </row>
    <row r="340">
      <c r="C340" s="28"/>
      <c r="D340" s="28"/>
      <c r="E340" s="28"/>
      <c r="F340" s="28"/>
    </row>
    <row r="341">
      <c r="C341" s="28"/>
      <c r="D341" s="28"/>
      <c r="E341" s="28"/>
      <c r="F341" s="28"/>
    </row>
    <row r="342">
      <c r="C342" s="28"/>
      <c r="D342" s="28"/>
      <c r="E342" s="28"/>
      <c r="F342" s="28"/>
    </row>
    <row r="343">
      <c r="C343" s="28"/>
      <c r="D343" s="28"/>
      <c r="E343" s="28"/>
      <c r="F343" s="28"/>
    </row>
    <row r="344">
      <c r="C344" s="28"/>
      <c r="D344" s="28"/>
      <c r="E344" s="28"/>
      <c r="F344" s="28"/>
    </row>
    <row r="345">
      <c r="C345" s="28"/>
      <c r="D345" s="28"/>
      <c r="E345" s="28"/>
      <c r="F345" s="28"/>
    </row>
    <row r="346">
      <c r="C346" s="28"/>
      <c r="D346" s="28"/>
      <c r="E346" s="28"/>
      <c r="F346" s="28"/>
    </row>
    <row r="347">
      <c r="C347" s="28"/>
      <c r="D347" s="28"/>
      <c r="E347" s="28"/>
      <c r="F347" s="28"/>
    </row>
    <row r="348">
      <c r="C348" s="28"/>
      <c r="D348" s="28"/>
      <c r="E348" s="28"/>
      <c r="F348" s="28"/>
    </row>
    <row r="349">
      <c r="C349" s="28"/>
      <c r="D349" s="28"/>
      <c r="E349" s="28"/>
      <c r="F349" s="28"/>
    </row>
    <row r="350">
      <c r="C350" s="28"/>
      <c r="D350" s="28"/>
      <c r="E350" s="28"/>
      <c r="F350" s="28"/>
    </row>
    <row r="351">
      <c r="C351" s="28"/>
      <c r="D351" s="28"/>
      <c r="E351" s="28"/>
      <c r="F351" s="28"/>
    </row>
    <row r="352">
      <c r="C352" s="28"/>
      <c r="D352" s="28"/>
      <c r="E352" s="28"/>
      <c r="F352" s="28"/>
    </row>
    <row r="353">
      <c r="C353" s="28"/>
      <c r="D353" s="28"/>
      <c r="E353" s="28"/>
      <c r="F353" s="28"/>
    </row>
    <row r="354">
      <c r="C354" s="28"/>
      <c r="D354" s="28"/>
      <c r="E354" s="28"/>
      <c r="F354" s="28"/>
    </row>
    <row r="355">
      <c r="C355" s="28"/>
      <c r="D355" s="28"/>
      <c r="E355" s="28"/>
      <c r="F355" s="28"/>
    </row>
    <row r="356">
      <c r="C356" s="28"/>
      <c r="D356" s="28"/>
      <c r="E356" s="28"/>
      <c r="F356" s="28"/>
    </row>
    <row r="357">
      <c r="C357" s="28"/>
      <c r="D357" s="28"/>
      <c r="E357" s="28"/>
      <c r="F357" s="28"/>
    </row>
    <row r="358">
      <c r="C358" s="28"/>
      <c r="D358" s="28"/>
      <c r="E358" s="28"/>
      <c r="F358" s="28"/>
    </row>
    <row r="359">
      <c r="C359" s="28"/>
      <c r="D359" s="28"/>
      <c r="E359" s="28"/>
      <c r="F359" s="28"/>
    </row>
    <row r="360">
      <c r="C360" s="28"/>
      <c r="D360" s="28"/>
      <c r="E360" s="28"/>
      <c r="F360" s="28"/>
    </row>
    <row r="361">
      <c r="C361" s="28"/>
      <c r="D361" s="28"/>
      <c r="E361" s="28"/>
      <c r="F361" s="28"/>
    </row>
    <row r="362">
      <c r="C362" s="28"/>
      <c r="D362" s="28"/>
      <c r="E362" s="28"/>
      <c r="F362" s="28"/>
    </row>
    <row r="363">
      <c r="C363" s="28"/>
      <c r="D363" s="28"/>
      <c r="E363" s="28"/>
      <c r="F363" s="28"/>
    </row>
    <row r="364">
      <c r="C364" s="28"/>
      <c r="D364" s="28"/>
      <c r="E364" s="28"/>
      <c r="F364" s="28"/>
    </row>
    <row r="365">
      <c r="C365" s="28"/>
      <c r="D365" s="28"/>
      <c r="E365" s="28"/>
      <c r="F365" s="28"/>
    </row>
    <row r="366">
      <c r="C366" s="28"/>
      <c r="D366" s="28"/>
      <c r="E366" s="28"/>
      <c r="F366" s="28"/>
    </row>
    <row r="367">
      <c r="C367" s="28"/>
      <c r="D367" s="28"/>
      <c r="E367" s="28"/>
      <c r="F367" s="28"/>
    </row>
    <row r="368">
      <c r="C368" s="28"/>
      <c r="D368" s="28"/>
      <c r="E368" s="28"/>
      <c r="F368" s="28"/>
    </row>
    <row r="369">
      <c r="C369" s="28"/>
      <c r="D369" s="28"/>
      <c r="E369" s="28"/>
      <c r="F369" s="28"/>
    </row>
    <row r="370">
      <c r="C370" s="28"/>
      <c r="D370" s="28"/>
      <c r="E370" s="28"/>
      <c r="F370" s="28"/>
    </row>
    <row r="371">
      <c r="C371" s="28"/>
      <c r="D371" s="28"/>
      <c r="E371" s="28"/>
      <c r="F371" s="28"/>
    </row>
    <row r="372">
      <c r="C372" s="28"/>
      <c r="D372" s="28"/>
      <c r="E372" s="28"/>
      <c r="F372" s="28"/>
    </row>
    <row r="373">
      <c r="C373" s="28"/>
      <c r="D373" s="28"/>
      <c r="E373" s="28"/>
      <c r="F373" s="28"/>
    </row>
    <row r="374">
      <c r="C374" s="28"/>
      <c r="D374" s="28"/>
      <c r="E374" s="28"/>
      <c r="F374" s="28"/>
    </row>
    <row r="375">
      <c r="C375" s="28"/>
      <c r="D375" s="28"/>
      <c r="E375" s="28"/>
      <c r="F375" s="28"/>
    </row>
    <row r="376">
      <c r="C376" s="28"/>
      <c r="D376" s="28"/>
      <c r="E376" s="28"/>
      <c r="F376" s="28"/>
    </row>
    <row r="377">
      <c r="C377" s="28"/>
      <c r="D377" s="28"/>
      <c r="E377" s="28"/>
      <c r="F377" s="28"/>
    </row>
    <row r="378">
      <c r="C378" s="28"/>
      <c r="D378" s="28"/>
      <c r="E378" s="28"/>
      <c r="F378" s="28"/>
    </row>
    <row r="379">
      <c r="C379" s="28"/>
      <c r="D379" s="28"/>
      <c r="E379" s="28"/>
      <c r="F379" s="28"/>
    </row>
    <row r="380">
      <c r="C380" s="28"/>
      <c r="D380" s="28"/>
      <c r="E380" s="28"/>
      <c r="F380" s="28"/>
    </row>
    <row r="381">
      <c r="C381" s="28"/>
      <c r="D381" s="28"/>
      <c r="E381" s="28"/>
      <c r="F381" s="28"/>
    </row>
    <row r="382">
      <c r="C382" s="28"/>
      <c r="D382" s="28"/>
      <c r="E382" s="28"/>
      <c r="F382" s="28"/>
    </row>
    <row r="383">
      <c r="C383" s="28"/>
      <c r="D383" s="28"/>
      <c r="E383" s="28"/>
      <c r="F383" s="28"/>
    </row>
    <row r="384">
      <c r="C384" s="28"/>
      <c r="D384" s="28"/>
      <c r="E384" s="28"/>
      <c r="F384" s="28"/>
    </row>
    <row r="385">
      <c r="C385" s="28"/>
      <c r="D385" s="28"/>
      <c r="E385" s="28"/>
      <c r="F385" s="28"/>
    </row>
    <row r="386">
      <c r="C386" s="28"/>
      <c r="D386" s="28"/>
      <c r="E386" s="28"/>
      <c r="F386" s="28"/>
    </row>
    <row r="387">
      <c r="C387" s="28"/>
      <c r="D387" s="28"/>
      <c r="E387" s="28"/>
      <c r="F387" s="28"/>
    </row>
    <row r="388">
      <c r="C388" s="28"/>
      <c r="D388" s="28"/>
      <c r="E388" s="28"/>
      <c r="F388" s="28"/>
    </row>
    <row r="389">
      <c r="C389" s="28"/>
      <c r="D389" s="28"/>
      <c r="E389" s="28"/>
      <c r="F389" s="28"/>
    </row>
    <row r="390">
      <c r="C390" s="28"/>
      <c r="D390" s="28"/>
      <c r="E390" s="28"/>
      <c r="F390" s="28"/>
    </row>
    <row r="391">
      <c r="C391" s="28"/>
      <c r="D391" s="28"/>
      <c r="E391" s="28"/>
      <c r="F391" s="28"/>
    </row>
    <row r="392">
      <c r="C392" s="28"/>
      <c r="D392" s="28"/>
      <c r="E392" s="28"/>
      <c r="F392" s="28"/>
    </row>
    <row r="393">
      <c r="C393" s="28"/>
      <c r="D393" s="28"/>
      <c r="E393" s="28"/>
      <c r="F393" s="28"/>
    </row>
    <row r="394">
      <c r="C394" s="28"/>
      <c r="D394" s="28"/>
      <c r="E394" s="28"/>
      <c r="F394" s="28"/>
    </row>
    <row r="395">
      <c r="C395" s="28"/>
      <c r="D395" s="28"/>
      <c r="E395" s="28"/>
      <c r="F395" s="28"/>
    </row>
    <row r="396">
      <c r="C396" s="28"/>
      <c r="D396" s="28"/>
      <c r="E396" s="28"/>
      <c r="F396" s="28"/>
    </row>
    <row r="397">
      <c r="C397" s="28"/>
      <c r="D397" s="28"/>
      <c r="E397" s="28"/>
      <c r="F397" s="28"/>
    </row>
    <row r="398">
      <c r="C398" s="28"/>
      <c r="D398" s="28"/>
      <c r="E398" s="28"/>
      <c r="F398" s="28"/>
    </row>
    <row r="399">
      <c r="C399" s="28"/>
      <c r="D399" s="28"/>
      <c r="E399" s="28"/>
      <c r="F399" s="28"/>
    </row>
    <row r="400">
      <c r="C400" s="28"/>
      <c r="D400" s="28"/>
      <c r="E400" s="28"/>
      <c r="F400" s="28"/>
    </row>
    <row r="401">
      <c r="C401" s="28"/>
      <c r="D401" s="28"/>
      <c r="E401" s="28"/>
      <c r="F401" s="28"/>
    </row>
    <row r="402">
      <c r="C402" s="28"/>
      <c r="D402" s="28"/>
      <c r="E402" s="28"/>
      <c r="F402" s="28"/>
    </row>
    <row r="403">
      <c r="C403" s="28"/>
      <c r="D403" s="28"/>
      <c r="E403" s="28"/>
      <c r="F403" s="28"/>
    </row>
    <row r="404">
      <c r="C404" s="28"/>
      <c r="D404" s="28"/>
      <c r="E404" s="28"/>
      <c r="F404" s="28"/>
    </row>
    <row r="405">
      <c r="C405" s="28"/>
      <c r="D405" s="28"/>
      <c r="E405" s="28"/>
      <c r="F405" s="28"/>
    </row>
    <row r="406">
      <c r="C406" s="28"/>
      <c r="D406" s="28"/>
      <c r="E406" s="28"/>
      <c r="F406" s="28"/>
    </row>
    <row r="407">
      <c r="C407" s="28"/>
      <c r="D407" s="28"/>
      <c r="E407" s="28"/>
      <c r="F407" s="28"/>
    </row>
    <row r="408">
      <c r="C408" s="28"/>
      <c r="D408" s="28"/>
      <c r="E408" s="28"/>
      <c r="F408" s="28"/>
    </row>
    <row r="409">
      <c r="C409" s="28"/>
      <c r="D409" s="28"/>
      <c r="E409" s="28"/>
      <c r="F409" s="28"/>
    </row>
    <row r="410">
      <c r="C410" s="28"/>
      <c r="D410" s="28"/>
      <c r="E410" s="28"/>
      <c r="F410" s="28"/>
    </row>
    <row r="411">
      <c r="C411" s="28"/>
      <c r="D411" s="28"/>
      <c r="E411" s="28"/>
      <c r="F411" s="28"/>
    </row>
    <row r="412">
      <c r="C412" s="28"/>
      <c r="D412" s="28"/>
      <c r="E412" s="28"/>
      <c r="F412" s="28"/>
    </row>
    <row r="413">
      <c r="C413" s="28"/>
      <c r="D413" s="28"/>
      <c r="E413" s="28"/>
      <c r="F413" s="28"/>
    </row>
    <row r="414">
      <c r="C414" s="28"/>
      <c r="D414" s="28"/>
      <c r="E414" s="28"/>
      <c r="F414" s="28"/>
    </row>
    <row r="415">
      <c r="C415" s="28"/>
      <c r="D415" s="28"/>
      <c r="E415" s="28"/>
      <c r="F415" s="28"/>
    </row>
    <row r="416">
      <c r="C416" s="28"/>
      <c r="D416" s="28"/>
      <c r="E416" s="28"/>
      <c r="F416" s="28"/>
    </row>
    <row r="417">
      <c r="C417" s="28"/>
      <c r="D417" s="28"/>
      <c r="E417" s="28"/>
      <c r="F417" s="28"/>
    </row>
    <row r="418">
      <c r="C418" s="28"/>
      <c r="D418" s="28"/>
      <c r="E418" s="28"/>
      <c r="F418" s="28"/>
    </row>
    <row r="419">
      <c r="C419" s="28"/>
      <c r="D419" s="28"/>
      <c r="E419" s="28"/>
      <c r="F419" s="28"/>
    </row>
    <row r="420">
      <c r="C420" s="28"/>
      <c r="D420" s="28"/>
      <c r="E420" s="28"/>
      <c r="F420" s="28"/>
    </row>
    <row r="421">
      <c r="C421" s="28"/>
      <c r="D421" s="28"/>
      <c r="E421" s="28"/>
      <c r="F421" s="28"/>
    </row>
    <row r="422">
      <c r="C422" s="28"/>
      <c r="D422" s="28"/>
      <c r="E422" s="28"/>
      <c r="F422" s="28"/>
    </row>
    <row r="423">
      <c r="C423" s="28"/>
      <c r="D423" s="28"/>
      <c r="E423" s="28"/>
      <c r="F423" s="28"/>
    </row>
    <row r="424">
      <c r="C424" s="28"/>
      <c r="D424" s="28"/>
      <c r="E424" s="28"/>
      <c r="F424" s="28"/>
    </row>
    <row r="425">
      <c r="C425" s="28"/>
      <c r="D425" s="28"/>
      <c r="E425" s="28"/>
      <c r="F425" s="28"/>
    </row>
    <row r="426">
      <c r="C426" s="28"/>
      <c r="D426" s="28"/>
      <c r="E426" s="28"/>
      <c r="F426" s="28"/>
    </row>
    <row r="427">
      <c r="C427" s="28"/>
      <c r="D427" s="28"/>
      <c r="E427" s="28"/>
      <c r="F427" s="28"/>
    </row>
    <row r="428">
      <c r="C428" s="28"/>
      <c r="D428" s="28"/>
      <c r="E428" s="28"/>
      <c r="F428" s="28"/>
    </row>
    <row r="429">
      <c r="C429" s="28"/>
      <c r="D429" s="28"/>
      <c r="E429" s="28"/>
      <c r="F429" s="28"/>
    </row>
    <row r="430">
      <c r="C430" s="28"/>
      <c r="D430" s="28"/>
      <c r="E430" s="28"/>
      <c r="F430" s="28"/>
    </row>
    <row r="431">
      <c r="C431" s="28"/>
      <c r="D431" s="28"/>
      <c r="E431" s="28"/>
      <c r="F431" s="28"/>
    </row>
    <row r="432">
      <c r="C432" s="28"/>
      <c r="D432" s="28"/>
      <c r="E432" s="28"/>
      <c r="F432" s="28"/>
    </row>
    <row r="433">
      <c r="C433" s="28"/>
      <c r="D433" s="28"/>
      <c r="E433" s="28"/>
      <c r="F433" s="28"/>
    </row>
    <row r="434">
      <c r="C434" s="28"/>
      <c r="D434" s="28"/>
      <c r="E434" s="28"/>
      <c r="F434" s="28"/>
    </row>
    <row r="435">
      <c r="C435" s="28"/>
      <c r="D435" s="28"/>
      <c r="E435" s="28"/>
      <c r="F435" s="28"/>
    </row>
    <row r="436">
      <c r="C436" s="28"/>
      <c r="D436" s="28"/>
      <c r="E436" s="28"/>
      <c r="F436" s="28"/>
    </row>
    <row r="437">
      <c r="C437" s="28"/>
      <c r="D437" s="28"/>
      <c r="E437" s="28"/>
      <c r="F437" s="28"/>
    </row>
    <row r="438">
      <c r="C438" s="28"/>
      <c r="D438" s="28"/>
      <c r="E438" s="28"/>
      <c r="F438" s="28"/>
    </row>
    <row r="439">
      <c r="C439" s="28"/>
      <c r="D439" s="28"/>
      <c r="E439" s="28"/>
      <c r="F439" s="28"/>
    </row>
    <row r="440">
      <c r="C440" s="28"/>
      <c r="D440" s="28"/>
      <c r="E440" s="28"/>
      <c r="F440" s="28"/>
    </row>
    <row r="441">
      <c r="C441" s="28"/>
      <c r="D441" s="28"/>
      <c r="E441" s="28"/>
      <c r="F441" s="28"/>
    </row>
    <row r="442">
      <c r="C442" s="28"/>
      <c r="D442" s="28"/>
      <c r="E442" s="28"/>
      <c r="F442" s="28"/>
    </row>
    <row r="443">
      <c r="C443" s="28"/>
      <c r="D443" s="28"/>
      <c r="E443" s="28"/>
      <c r="F443" s="28"/>
    </row>
    <row r="444">
      <c r="C444" s="28"/>
      <c r="D444" s="28"/>
      <c r="E444" s="28"/>
      <c r="F444" s="28"/>
    </row>
    <row r="445">
      <c r="C445" s="28"/>
      <c r="D445" s="28"/>
      <c r="E445" s="28"/>
      <c r="F445" s="28"/>
    </row>
    <row r="446">
      <c r="C446" s="28"/>
      <c r="D446" s="28"/>
      <c r="E446" s="28"/>
      <c r="F446" s="28"/>
    </row>
    <row r="447">
      <c r="C447" s="28"/>
      <c r="D447" s="28"/>
      <c r="E447" s="28"/>
      <c r="F447" s="28"/>
    </row>
    <row r="448">
      <c r="C448" s="28"/>
      <c r="D448" s="28"/>
      <c r="E448" s="28"/>
      <c r="F448" s="28"/>
    </row>
    <row r="449">
      <c r="C449" s="28"/>
      <c r="D449" s="28"/>
      <c r="E449" s="28"/>
      <c r="F449" s="28"/>
    </row>
    <row r="450">
      <c r="C450" s="28"/>
      <c r="D450" s="28"/>
      <c r="E450" s="28"/>
      <c r="F450" s="28"/>
    </row>
    <row r="451">
      <c r="C451" s="28"/>
      <c r="D451" s="28"/>
      <c r="E451" s="28"/>
      <c r="F451" s="28"/>
    </row>
    <row r="452">
      <c r="C452" s="28"/>
      <c r="D452" s="28"/>
      <c r="E452" s="28"/>
      <c r="F452" s="28"/>
    </row>
    <row r="453">
      <c r="C453" s="28"/>
      <c r="D453" s="28"/>
      <c r="E453" s="28"/>
      <c r="F453" s="28"/>
    </row>
    <row r="454">
      <c r="C454" s="28"/>
      <c r="D454" s="28"/>
      <c r="E454" s="28"/>
      <c r="F454" s="28"/>
    </row>
    <row r="455">
      <c r="C455" s="28"/>
      <c r="D455" s="28"/>
      <c r="E455" s="28"/>
      <c r="F455" s="28"/>
    </row>
    <row r="456">
      <c r="C456" s="28"/>
      <c r="D456" s="28"/>
      <c r="E456" s="28"/>
      <c r="F456" s="28"/>
    </row>
    <row r="457">
      <c r="C457" s="28"/>
      <c r="D457" s="28"/>
      <c r="E457" s="28"/>
      <c r="F457" s="28"/>
    </row>
    <row r="458">
      <c r="C458" s="28"/>
      <c r="D458" s="28"/>
      <c r="E458" s="28"/>
      <c r="F458" s="28"/>
    </row>
    <row r="459">
      <c r="C459" s="28"/>
      <c r="D459" s="28"/>
      <c r="E459" s="28"/>
      <c r="F459" s="28"/>
    </row>
    <row r="460">
      <c r="C460" s="28"/>
      <c r="D460" s="28"/>
      <c r="E460" s="28"/>
      <c r="F460" s="28"/>
    </row>
    <row r="461">
      <c r="C461" s="28"/>
      <c r="D461" s="28"/>
      <c r="E461" s="28"/>
      <c r="F461" s="28"/>
    </row>
    <row r="462">
      <c r="C462" s="28"/>
      <c r="D462" s="28"/>
      <c r="E462" s="28"/>
      <c r="F462" s="28"/>
    </row>
    <row r="463">
      <c r="C463" s="28"/>
      <c r="D463" s="28"/>
      <c r="E463" s="28"/>
      <c r="F463" s="28"/>
    </row>
    <row r="464">
      <c r="C464" s="28"/>
      <c r="D464" s="28"/>
      <c r="E464" s="28"/>
      <c r="F464" s="28"/>
    </row>
    <row r="465">
      <c r="C465" s="28"/>
      <c r="D465" s="28"/>
      <c r="E465" s="28"/>
      <c r="F465" s="28"/>
    </row>
    <row r="466">
      <c r="C466" s="28"/>
      <c r="D466" s="28"/>
      <c r="E466" s="28"/>
      <c r="F466" s="28"/>
    </row>
    <row r="467">
      <c r="C467" s="28"/>
      <c r="D467" s="28"/>
      <c r="E467" s="28"/>
      <c r="F467" s="28"/>
    </row>
    <row r="468">
      <c r="C468" s="28"/>
      <c r="D468" s="28"/>
      <c r="E468" s="28"/>
      <c r="F468" s="28"/>
    </row>
    <row r="469">
      <c r="C469" s="28"/>
      <c r="D469" s="28"/>
      <c r="E469" s="28"/>
      <c r="F469" s="28"/>
    </row>
    <row r="470">
      <c r="C470" s="28"/>
      <c r="D470" s="28"/>
      <c r="E470" s="28"/>
      <c r="F470" s="28"/>
    </row>
    <row r="471">
      <c r="C471" s="28"/>
      <c r="D471" s="28"/>
      <c r="E471" s="28"/>
      <c r="F471" s="28"/>
    </row>
    <row r="472">
      <c r="C472" s="28"/>
      <c r="D472" s="28"/>
      <c r="E472" s="28"/>
      <c r="F472" s="28"/>
    </row>
    <row r="473">
      <c r="C473" s="28"/>
      <c r="D473" s="28"/>
      <c r="E473" s="28"/>
      <c r="F473" s="28"/>
    </row>
    <row r="474">
      <c r="C474" s="28"/>
      <c r="D474" s="28"/>
      <c r="E474" s="28"/>
      <c r="F474" s="28"/>
    </row>
    <row r="475">
      <c r="C475" s="28"/>
      <c r="D475" s="28"/>
      <c r="E475" s="28"/>
      <c r="F475" s="28"/>
    </row>
    <row r="476">
      <c r="C476" s="28"/>
      <c r="D476" s="28"/>
      <c r="E476" s="28"/>
      <c r="F476" s="28"/>
    </row>
    <row r="477">
      <c r="C477" s="28"/>
      <c r="D477" s="28"/>
      <c r="E477" s="28"/>
      <c r="F477" s="28"/>
    </row>
    <row r="478">
      <c r="C478" s="28"/>
      <c r="D478" s="28"/>
      <c r="E478" s="28"/>
      <c r="F478" s="28"/>
    </row>
    <row r="479">
      <c r="C479" s="28"/>
      <c r="D479" s="28"/>
      <c r="E479" s="28"/>
      <c r="F479" s="28"/>
    </row>
    <row r="480">
      <c r="C480" s="28"/>
      <c r="D480" s="28"/>
      <c r="E480" s="28"/>
      <c r="F480" s="28"/>
    </row>
    <row r="481">
      <c r="C481" s="28"/>
      <c r="D481" s="28"/>
      <c r="E481" s="28"/>
      <c r="F481" s="28"/>
    </row>
    <row r="482">
      <c r="C482" s="28"/>
      <c r="D482" s="28"/>
      <c r="E482" s="28"/>
      <c r="F482" s="28"/>
    </row>
    <row r="483">
      <c r="C483" s="28"/>
      <c r="D483" s="28"/>
      <c r="E483" s="28"/>
      <c r="F483" s="28"/>
    </row>
    <row r="484">
      <c r="C484" s="28"/>
      <c r="D484" s="28"/>
      <c r="E484" s="28"/>
      <c r="F484" s="28"/>
    </row>
    <row r="485">
      <c r="C485" s="28"/>
      <c r="D485" s="28"/>
      <c r="E485" s="28"/>
      <c r="F485" s="28"/>
    </row>
    <row r="486">
      <c r="C486" s="28"/>
      <c r="D486" s="28"/>
      <c r="E486" s="28"/>
      <c r="F486" s="28"/>
    </row>
    <row r="487">
      <c r="C487" s="28"/>
      <c r="D487" s="28"/>
      <c r="E487" s="28"/>
      <c r="F487" s="28"/>
    </row>
    <row r="488">
      <c r="C488" s="28"/>
      <c r="D488" s="28"/>
      <c r="E488" s="28"/>
      <c r="F488" s="28"/>
    </row>
    <row r="489">
      <c r="C489" s="28"/>
      <c r="D489" s="28"/>
      <c r="E489" s="28"/>
      <c r="F489" s="28"/>
    </row>
    <row r="490">
      <c r="C490" s="28"/>
      <c r="D490" s="28"/>
      <c r="E490" s="28"/>
      <c r="F490" s="28"/>
    </row>
    <row r="491">
      <c r="C491" s="28"/>
      <c r="D491" s="28"/>
      <c r="E491" s="28"/>
      <c r="F491" s="28"/>
    </row>
    <row r="492">
      <c r="C492" s="28"/>
      <c r="D492" s="28"/>
      <c r="E492" s="28"/>
      <c r="F492" s="28"/>
    </row>
    <row r="493">
      <c r="C493" s="28"/>
      <c r="D493" s="28"/>
      <c r="E493" s="28"/>
      <c r="F493" s="28"/>
    </row>
    <row r="494">
      <c r="C494" s="28"/>
      <c r="D494" s="28"/>
      <c r="E494" s="28"/>
      <c r="F494" s="28"/>
    </row>
    <row r="495">
      <c r="C495" s="28"/>
      <c r="D495" s="28"/>
      <c r="E495" s="28"/>
      <c r="F495" s="28"/>
    </row>
    <row r="496">
      <c r="C496" s="28"/>
      <c r="D496" s="28"/>
      <c r="E496" s="28"/>
      <c r="F496" s="28"/>
    </row>
    <row r="497">
      <c r="C497" s="28"/>
      <c r="D497" s="28"/>
      <c r="E497" s="28"/>
      <c r="F497" s="28"/>
    </row>
    <row r="498">
      <c r="C498" s="28"/>
      <c r="D498" s="28"/>
      <c r="E498" s="28"/>
      <c r="F498" s="28"/>
    </row>
    <row r="499">
      <c r="C499" s="28"/>
      <c r="D499" s="28"/>
      <c r="E499" s="28"/>
      <c r="F499" s="28"/>
    </row>
    <row r="500">
      <c r="C500" s="28"/>
      <c r="D500" s="28"/>
      <c r="E500" s="28"/>
      <c r="F500" s="28"/>
    </row>
    <row r="501">
      <c r="C501" s="28"/>
      <c r="D501" s="28"/>
      <c r="E501" s="28"/>
      <c r="F501" s="28"/>
    </row>
    <row r="502">
      <c r="C502" s="28"/>
      <c r="D502" s="28"/>
      <c r="E502" s="28"/>
      <c r="F502" s="28"/>
    </row>
    <row r="503">
      <c r="C503" s="28"/>
      <c r="D503" s="28"/>
      <c r="E503" s="28"/>
      <c r="F503" s="28"/>
    </row>
    <row r="504">
      <c r="C504" s="28"/>
      <c r="D504" s="28"/>
      <c r="E504" s="28"/>
      <c r="F504" s="28"/>
    </row>
    <row r="505">
      <c r="C505" s="28"/>
      <c r="D505" s="28"/>
      <c r="E505" s="28"/>
      <c r="F505" s="28"/>
    </row>
    <row r="506">
      <c r="C506" s="28"/>
      <c r="D506" s="28"/>
      <c r="E506" s="28"/>
      <c r="F506" s="28"/>
    </row>
    <row r="507">
      <c r="C507" s="28"/>
      <c r="D507" s="28"/>
      <c r="E507" s="28"/>
      <c r="F507" s="28"/>
    </row>
    <row r="508">
      <c r="C508" s="28"/>
      <c r="D508" s="28"/>
      <c r="E508" s="28"/>
      <c r="F508" s="28"/>
    </row>
    <row r="509">
      <c r="C509" s="28"/>
      <c r="D509" s="28"/>
      <c r="E509" s="28"/>
      <c r="F509" s="28"/>
    </row>
    <row r="510">
      <c r="C510" s="28"/>
      <c r="D510" s="28"/>
      <c r="E510" s="28"/>
      <c r="F510" s="28"/>
    </row>
    <row r="511">
      <c r="C511" s="28"/>
      <c r="D511" s="28"/>
      <c r="E511" s="28"/>
      <c r="F511" s="28"/>
    </row>
    <row r="512">
      <c r="C512" s="28"/>
      <c r="D512" s="28"/>
      <c r="E512" s="28"/>
      <c r="F512" s="28"/>
    </row>
    <row r="513">
      <c r="C513" s="28"/>
      <c r="D513" s="28"/>
      <c r="E513" s="28"/>
      <c r="F513" s="28"/>
    </row>
    <row r="514">
      <c r="C514" s="28"/>
      <c r="D514" s="28"/>
      <c r="E514" s="28"/>
      <c r="F514" s="28"/>
    </row>
    <row r="515">
      <c r="C515" s="28"/>
      <c r="D515" s="28"/>
      <c r="E515" s="28"/>
      <c r="F515" s="28"/>
    </row>
    <row r="516">
      <c r="C516" s="28"/>
      <c r="D516" s="28"/>
      <c r="E516" s="28"/>
      <c r="F516" s="28"/>
    </row>
    <row r="517">
      <c r="C517" s="28"/>
      <c r="D517" s="28"/>
      <c r="E517" s="28"/>
      <c r="F517" s="28"/>
    </row>
    <row r="518">
      <c r="C518" s="28"/>
      <c r="D518" s="28"/>
      <c r="E518" s="28"/>
      <c r="F518" s="28"/>
    </row>
    <row r="519">
      <c r="C519" s="28"/>
      <c r="D519" s="28"/>
      <c r="E519" s="28"/>
      <c r="F519" s="28"/>
    </row>
    <row r="520">
      <c r="C520" s="28"/>
      <c r="D520" s="28"/>
      <c r="E520" s="28"/>
      <c r="F520" s="28"/>
    </row>
    <row r="521">
      <c r="C521" s="28"/>
      <c r="D521" s="28"/>
      <c r="E521" s="28"/>
      <c r="F521" s="28"/>
    </row>
    <row r="522">
      <c r="C522" s="28"/>
      <c r="D522" s="28"/>
      <c r="E522" s="28"/>
      <c r="F522" s="28"/>
    </row>
    <row r="523">
      <c r="C523" s="28"/>
      <c r="D523" s="28"/>
      <c r="E523" s="28"/>
      <c r="F523" s="28"/>
    </row>
    <row r="524">
      <c r="C524" s="28"/>
      <c r="D524" s="28"/>
      <c r="E524" s="28"/>
      <c r="F524" s="28"/>
    </row>
    <row r="525">
      <c r="C525" s="28"/>
      <c r="D525" s="28"/>
      <c r="E525" s="28"/>
      <c r="F525" s="28"/>
    </row>
    <row r="526">
      <c r="C526" s="28"/>
      <c r="D526" s="28"/>
      <c r="E526" s="28"/>
      <c r="F526" s="28"/>
    </row>
    <row r="527">
      <c r="C527" s="28"/>
      <c r="D527" s="28"/>
      <c r="E527" s="28"/>
      <c r="F527" s="28"/>
    </row>
    <row r="528">
      <c r="C528" s="28"/>
      <c r="D528" s="28"/>
      <c r="E528" s="28"/>
      <c r="F528" s="28"/>
    </row>
    <row r="529">
      <c r="C529" s="28"/>
      <c r="D529" s="28"/>
      <c r="E529" s="28"/>
      <c r="F529" s="28"/>
    </row>
    <row r="530">
      <c r="C530" s="28"/>
      <c r="D530" s="28"/>
      <c r="E530" s="28"/>
      <c r="F530" s="28"/>
    </row>
    <row r="531">
      <c r="C531" s="28"/>
      <c r="D531" s="28"/>
      <c r="E531" s="28"/>
      <c r="F531" s="28"/>
    </row>
    <row r="532">
      <c r="C532" s="28"/>
      <c r="D532" s="28"/>
      <c r="E532" s="28"/>
      <c r="F532" s="28"/>
    </row>
    <row r="533">
      <c r="C533" s="28"/>
      <c r="D533" s="28"/>
      <c r="E533" s="28"/>
      <c r="F533" s="28"/>
    </row>
    <row r="534">
      <c r="C534" s="28"/>
      <c r="D534" s="28"/>
      <c r="E534" s="28"/>
      <c r="F534" s="28"/>
    </row>
    <row r="535">
      <c r="C535" s="28"/>
      <c r="D535" s="28"/>
      <c r="E535" s="28"/>
      <c r="F535" s="28"/>
    </row>
    <row r="536">
      <c r="C536" s="28"/>
      <c r="D536" s="28"/>
      <c r="E536" s="28"/>
      <c r="F536" s="28"/>
    </row>
    <row r="537">
      <c r="C537" s="28"/>
      <c r="D537" s="28"/>
      <c r="E537" s="28"/>
      <c r="F537" s="28"/>
    </row>
    <row r="538">
      <c r="C538" s="28"/>
      <c r="D538" s="28"/>
      <c r="E538" s="28"/>
      <c r="F538" s="28"/>
    </row>
    <row r="539">
      <c r="C539" s="28"/>
      <c r="D539" s="28"/>
      <c r="E539" s="28"/>
      <c r="F539" s="28"/>
    </row>
    <row r="540">
      <c r="C540" s="28"/>
      <c r="D540" s="28"/>
      <c r="E540" s="28"/>
      <c r="F540" s="28"/>
    </row>
    <row r="541">
      <c r="C541" s="28"/>
      <c r="D541" s="28"/>
      <c r="E541" s="28"/>
      <c r="F541" s="28"/>
    </row>
    <row r="542">
      <c r="C542" s="28"/>
      <c r="D542" s="28"/>
      <c r="E542" s="28"/>
      <c r="F542" s="28"/>
    </row>
    <row r="543">
      <c r="C543" s="28"/>
      <c r="D543" s="28"/>
      <c r="E543" s="28"/>
      <c r="F543" s="28"/>
    </row>
    <row r="544">
      <c r="C544" s="28"/>
      <c r="D544" s="28"/>
      <c r="E544" s="28"/>
      <c r="F544" s="28"/>
    </row>
    <row r="545">
      <c r="C545" s="28"/>
      <c r="D545" s="28"/>
      <c r="E545" s="28"/>
      <c r="F545" s="28"/>
    </row>
    <row r="546">
      <c r="C546" s="28"/>
      <c r="D546" s="28"/>
      <c r="E546" s="28"/>
      <c r="F546" s="28"/>
    </row>
    <row r="547">
      <c r="C547" s="28"/>
      <c r="D547" s="28"/>
      <c r="E547" s="28"/>
      <c r="F547" s="28"/>
    </row>
    <row r="548">
      <c r="C548" s="28"/>
      <c r="D548" s="28"/>
      <c r="E548" s="28"/>
      <c r="F548" s="28"/>
    </row>
    <row r="549">
      <c r="C549" s="28"/>
      <c r="D549" s="28"/>
      <c r="E549" s="28"/>
      <c r="F549" s="28"/>
    </row>
    <row r="550">
      <c r="C550" s="28"/>
      <c r="D550" s="28"/>
      <c r="E550" s="28"/>
      <c r="F550" s="28"/>
    </row>
    <row r="551">
      <c r="C551" s="28"/>
      <c r="D551" s="28"/>
      <c r="E551" s="28"/>
      <c r="F551" s="28"/>
    </row>
    <row r="552">
      <c r="C552" s="28"/>
      <c r="D552" s="28"/>
      <c r="E552" s="28"/>
      <c r="F552" s="28"/>
    </row>
    <row r="553">
      <c r="C553" s="28"/>
      <c r="D553" s="28"/>
      <c r="E553" s="28"/>
      <c r="F553" s="28"/>
    </row>
    <row r="554">
      <c r="C554" s="28"/>
      <c r="D554" s="28"/>
      <c r="E554" s="28"/>
      <c r="F554" s="28"/>
    </row>
    <row r="555">
      <c r="C555" s="28"/>
      <c r="D555" s="28"/>
      <c r="E555" s="28"/>
      <c r="F555" s="28"/>
    </row>
    <row r="556">
      <c r="C556" s="28"/>
      <c r="D556" s="28"/>
      <c r="E556" s="28"/>
      <c r="F556" s="28"/>
    </row>
    <row r="557">
      <c r="C557" s="28"/>
      <c r="D557" s="28"/>
      <c r="E557" s="28"/>
      <c r="F557" s="28"/>
    </row>
    <row r="558">
      <c r="C558" s="28"/>
      <c r="D558" s="28"/>
      <c r="E558" s="28"/>
      <c r="F558" s="28"/>
    </row>
    <row r="559">
      <c r="C559" s="28"/>
      <c r="D559" s="28"/>
      <c r="E559" s="28"/>
      <c r="F559" s="28"/>
    </row>
    <row r="560">
      <c r="C560" s="28"/>
      <c r="D560" s="28"/>
      <c r="E560" s="28"/>
      <c r="F560" s="28"/>
    </row>
    <row r="561">
      <c r="C561" s="28"/>
      <c r="D561" s="28"/>
      <c r="E561" s="28"/>
      <c r="F561" s="28"/>
    </row>
    <row r="562">
      <c r="C562" s="28"/>
      <c r="D562" s="28"/>
      <c r="E562" s="28"/>
      <c r="F562" s="28"/>
    </row>
    <row r="563">
      <c r="C563" s="28"/>
      <c r="D563" s="28"/>
      <c r="E563" s="28"/>
      <c r="F563" s="28"/>
    </row>
    <row r="564">
      <c r="C564" s="28"/>
      <c r="D564" s="28"/>
      <c r="E564" s="28"/>
      <c r="F564" s="28"/>
    </row>
    <row r="565">
      <c r="C565" s="28"/>
      <c r="D565" s="28"/>
      <c r="E565" s="28"/>
      <c r="F565" s="28"/>
    </row>
    <row r="566">
      <c r="C566" s="28"/>
      <c r="D566" s="28"/>
      <c r="E566" s="28"/>
      <c r="F566" s="28"/>
    </row>
    <row r="567">
      <c r="C567" s="28"/>
      <c r="D567" s="28"/>
      <c r="E567" s="28"/>
      <c r="F567" s="28"/>
    </row>
    <row r="568">
      <c r="C568" s="28"/>
      <c r="D568" s="28"/>
      <c r="E568" s="28"/>
      <c r="F568" s="28"/>
    </row>
    <row r="569">
      <c r="C569" s="28"/>
      <c r="D569" s="28"/>
      <c r="E569" s="28"/>
      <c r="F569" s="28"/>
    </row>
    <row r="570">
      <c r="C570" s="28"/>
      <c r="D570" s="28"/>
      <c r="E570" s="28"/>
      <c r="F570" s="28"/>
    </row>
    <row r="571">
      <c r="C571" s="28"/>
      <c r="D571" s="28"/>
      <c r="E571" s="28"/>
      <c r="F571" s="28"/>
    </row>
    <row r="572">
      <c r="C572" s="28"/>
      <c r="D572" s="28"/>
      <c r="E572" s="28"/>
      <c r="F572" s="28"/>
    </row>
    <row r="573">
      <c r="C573" s="28"/>
      <c r="D573" s="28"/>
      <c r="E573" s="28"/>
      <c r="F573" s="28"/>
    </row>
    <row r="574">
      <c r="C574" s="28"/>
      <c r="D574" s="28"/>
      <c r="E574" s="28"/>
      <c r="F574" s="28"/>
    </row>
    <row r="575">
      <c r="C575" s="28"/>
      <c r="D575" s="28"/>
      <c r="E575" s="28"/>
      <c r="F575" s="28"/>
    </row>
    <row r="576">
      <c r="C576" s="28"/>
      <c r="D576" s="28"/>
      <c r="E576" s="28"/>
      <c r="F576" s="28"/>
    </row>
    <row r="577">
      <c r="C577" s="28"/>
      <c r="D577" s="28"/>
      <c r="E577" s="28"/>
      <c r="F577" s="28"/>
    </row>
    <row r="578">
      <c r="C578" s="28"/>
      <c r="D578" s="28"/>
      <c r="E578" s="28"/>
      <c r="F578" s="28"/>
    </row>
    <row r="579">
      <c r="C579" s="28"/>
      <c r="D579" s="28"/>
      <c r="E579" s="28"/>
      <c r="F579" s="28"/>
    </row>
    <row r="580">
      <c r="C580" s="28"/>
      <c r="D580" s="28"/>
      <c r="E580" s="28"/>
      <c r="F580" s="28"/>
    </row>
    <row r="581">
      <c r="C581" s="28"/>
      <c r="D581" s="28"/>
      <c r="E581" s="28"/>
      <c r="F581" s="28"/>
    </row>
    <row r="582">
      <c r="C582" s="28"/>
      <c r="D582" s="28"/>
      <c r="E582" s="28"/>
      <c r="F582" s="28"/>
    </row>
    <row r="583">
      <c r="C583" s="28"/>
      <c r="D583" s="28"/>
      <c r="E583" s="28"/>
      <c r="F583" s="28"/>
    </row>
    <row r="584">
      <c r="C584" s="28"/>
      <c r="D584" s="28"/>
      <c r="E584" s="28"/>
      <c r="F584" s="28"/>
    </row>
    <row r="585">
      <c r="C585" s="28"/>
      <c r="D585" s="28"/>
      <c r="E585" s="28"/>
      <c r="F585" s="28"/>
    </row>
    <row r="586">
      <c r="C586" s="28"/>
      <c r="D586" s="28"/>
      <c r="E586" s="28"/>
      <c r="F586" s="28"/>
    </row>
    <row r="587">
      <c r="C587" s="28"/>
      <c r="D587" s="28"/>
      <c r="E587" s="28"/>
      <c r="F587" s="28"/>
    </row>
    <row r="588">
      <c r="C588" s="28"/>
      <c r="D588" s="28"/>
      <c r="E588" s="28"/>
      <c r="F588" s="28"/>
    </row>
    <row r="589">
      <c r="C589" s="28"/>
      <c r="D589" s="28"/>
      <c r="E589" s="28"/>
      <c r="F589" s="28"/>
    </row>
    <row r="590">
      <c r="C590" s="28"/>
      <c r="D590" s="28"/>
      <c r="E590" s="28"/>
      <c r="F590" s="28"/>
    </row>
    <row r="591">
      <c r="C591" s="28"/>
      <c r="D591" s="28"/>
      <c r="E591" s="28"/>
      <c r="F591" s="28"/>
    </row>
    <row r="592">
      <c r="C592" s="28"/>
      <c r="D592" s="28"/>
      <c r="E592" s="28"/>
      <c r="F592" s="28"/>
    </row>
    <row r="593">
      <c r="C593" s="28"/>
      <c r="D593" s="28"/>
      <c r="E593" s="28"/>
      <c r="F593" s="28"/>
    </row>
    <row r="594">
      <c r="C594" s="28"/>
      <c r="D594" s="28"/>
      <c r="E594" s="28"/>
      <c r="F594" s="28"/>
    </row>
    <row r="595">
      <c r="C595" s="28"/>
      <c r="D595" s="28"/>
      <c r="E595" s="28"/>
      <c r="F595" s="28"/>
    </row>
    <row r="596">
      <c r="C596" s="28"/>
      <c r="D596" s="28"/>
      <c r="E596" s="28"/>
      <c r="F596" s="28"/>
    </row>
    <row r="597">
      <c r="C597" s="28"/>
      <c r="D597" s="28"/>
      <c r="E597" s="28"/>
      <c r="F597" s="28"/>
    </row>
    <row r="598">
      <c r="C598" s="28"/>
      <c r="D598" s="28"/>
      <c r="E598" s="28"/>
      <c r="F598" s="28"/>
    </row>
    <row r="599">
      <c r="C599" s="28"/>
      <c r="D599" s="28"/>
      <c r="E599" s="28"/>
      <c r="F599" s="28"/>
    </row>
    <row r="600">
      <c r="C600" s="28"/>
      <c r="D600" s="28"/>
      <c r="E600" s="28"/>
      <c r="F600" s="28"/>
    </row>
    <row r="601">
      <c r="C601" s="28"/>
      <c r="D601" s="28"/>
      <c r="E601" s="28"/>
      <c r="F601" s="28"/>
    </row>
    <row r="602">
      <c r="C602" s="28"/>
      <c r="D602" s="28"/>
      <c r="E602" s="28"/>
      <c r="F602" s="28"/>
    </row>
    <row r="603">
      <c r="C603" s="28"/>
      <c r="D603" s="28"/>
      <c r="E603" s="28"/>
      <c r="F603" s="28"/>
    </row>
    <row r="604">
      <c r="C604" s="28"/>
      <c r="D604" s="28"/>
      <c r="E604" s="28"/>
      <c r="F604" s="28"/>
    </row>
    <row r="605">
      <c r="C605" s="28"/>
      <c r="D605" s="28"/>
      <c r="E605" s="28"/>
      <c r="F605" s="28"/>
    </row>
    <row r="606">
      <c r="C606" s="28"/>
      <c r="D606" s="28"/>
      <c r="E606" s="28"/>
      <c r="F606" s="28"/>
    </row>
    <row r="607">
      <c r="C607" s="28"/>
      <c r="D607" s="28"/>
      <c r="E607" s="28"/>
      <c r="F607" s="28"/>
    </row>
    <row r="608">
      <c r="C608" s="28"/>
      <c r="D608" s="28"/>
      <c r="E608" s="28"/>
      <c r="F608" s="28"/>
    </row>
    <row r="609">
      <c r="C609" s="28"/>
      <c r="D609" s="28"/>
      <c r="E609" s="28"/>
      <c r="F609" s="28"/>
    </row>
    <row r="610">
      <c r="C610" s="28"/>
      <c r="D610" s="28"/>
      <c r="E610" s="28"/>
      <c r="F610" s="28"/>
    </row>
    <row r="611">
      <c r="C611" s="28"/>
      <c r="D611" s="28"/>
      <c r="E611" s="28"/>
      <c r="F611" s="28"/>
    </row>
    <row r="612">
      <c r="C612" s="28"/>
      <c r="D612" s="28"/>
      <c r="E612" s="28"/>
      <c r="F612" s="28"/>
    </row>
    <row r="613">
      <c r="C613" s="28"/>
      <c r="D613" s="28"/>
      <c r="E613" s="28"/>
      <c r="F613" s="28"/>
    </row>
    <row r="614">
      <c r="C614" s="28"/>
      <c r="D614" s="28"/>
      <c r="E614" s="28"/>
      <c r="F614" s="28"/>
    </row>
    <row r="615">
      <c r="C615" s="28"/>
      <c r="D615" s="28"/>
      <c r="E615" s="28"/>
      <c r="F615" s="28"/>
    </row>
    <row r="616">
      <c r="C616" s="28"/>
      <c r="D616" s="28"/>
      <c r="E616" s="28"/>
      <c r="F616" s="28"/>
    </row>
    <row r="617">
      <c r="C617" s="28"/>
      <c r="D617" s="28"/>
      <c r="E617" s="28"/>
      <c r="F617" s="28"/>
    </row>
    <row r="618">
      <c r="C618" s="28"/>
      <c r="D618" s="28"/>
      <c r="E618" s="28"/>
      <c r="F618" s="28"/>
    </row>
    <row r="619">
      <c r="C619" s="28"/>
      <c r="D619" s="28"/>
      <c r="E619" s="28"/>
      <c r="F619" s="28"/>
    </row>
    <row r="620">
      <c r="C620" s="28"/>
      <c r="D620" s="28"/>
      <c r="E620" s="28"/>
      <c r="F620" s="28"/>
    </row>
    <row r="621">
      <c r="C621" s="28"/>
      <c r="D621" s="28"/>
      <c r="E621" s="28"/>
      <c r="F621" s="28"/>
    </row>
    <row r="622">
      <c r="C622" s="28"/>
      <c r="D622" s="28"/>
      <c r="E622" s="28"/>
      <c r="F622" s="28"/>
    </row>
    <row r="623">
      <c r="C623" s="28"/>
      <c r="D623" s="28"/>
      <c r="E623" s="28"/>
      <c r="F623" s="28"/>
    </row>
    <row r="624">
      <c r="C624" s="28"/>
      <c r="D624" s="28"/>
      <c r="E624" s="28"/>
      <c r="F624" s="28"/>
    </row>
    <row r="625">
      <c r="C625" s="28"/>
      <c r="D625" s="28"/>
      <c r="E625" s="28"/>
      <c r="F625" s="28"/>
    </row>
    <row r="626">
      <c r="C626" s="28"/>
      <c r="D626" s="28"/>
      <c r="E626" s="28"/>
      <c r="F626" s="28"/>
    </row>
    <row r="627">
      <c r="C627" s="28"/>
      <c r="D627" s="28"/>
      <c r="E627" s="28"/>
      <c r="F627" s="28"/>
    </row>
    <row r="628">
      <c r="C628" s="28"/>
      <c r="D628" s="28"/>
      <c r="E628" s="28"/>
      <c r="F628" s="28"/>
    </row>
    <row r="629">
      <c r="C629" s="28"/>
      <c r="D629" s="28"/>
      <c r="E629" s="28"/>
      <c r="F629" s="28"/>
    </row>
    <row r="630">
      <c r="C630" s="28"/>
      <c r="D630" s="28"/>
      <c r="E630" s="28"/>
      <c r="F630" s="28"/>
    </row>
    <row r="631">
      <c r="C631" s="28"/>
      <c r="D631" s="28"/>
      <c r="E631" s="28"/>
      <c r="F631" s="28"/>
    </row>
    <row r="632">
      <c r="C632" s="28"/>
      <c r="D632" s="28"/>
      <c r="E632" s="28"/>
      <c r="F632" s="28"/>
    </row>
    <row r="633">
      <c r="C633" s="28"/>
      <c r="D633" s="28"/>
      <c r="E633" s="28"/>
      <c r="F633" s="28"/>
    </row>
    <row r="634">
      <c r="C634" s="28"/>
      <c r="D634" s="28"/>
      <c r="E634" s="28"/>
      <c r="F634" s="28"/>
    </row>
    <row r="635">
      <c r="C635" s="28"/>
      <c r="D635" s="28"/>
      <c r="E635" s="28"/>
      <c r="F635" s="28"/>
    </row>
    <row r="636">
      <c r="C636" s="28"/>
      <c r="D636" s="28"/>
      <c r="E636" s="28"/>
      <c r="F636" s="28"/>
    </row>
    <row r="637">
      <c r="C637" s="28"/>
      <c r="D637" s="28"/>
      <c r="E637" s="28"/>
      <c r="F637" s="28"/>
    </row>
    <row r="638">
      <c r="C638" s="28"/>
      <c r="D638" s="28"/>
      <c r="E638" s="28"/>
      <c r="F638" s="28"/>
    </row>
    <row r="639">
      <c r="C639" s="28"/>
      <c r="D639" s="28"/>
      <c r="E639" s="28"/>
      <c r="F639" s="28"/>
    </row>
    <row r="640">
      <c r="C640" s="28"/>
      <c r="D640" s="28"/>
      <c r="E640" s="28"/>
      <c r="F640" s="28"/>
    </row>
    <row r="641">
      <c r="C641" s="28"/>
      <c r="D641" s="28"/>
      <c r="E641" s="28"/>
      <c r="F641" s="28"/>
    </row>
    <row r="642">
      <c r="C642" s="28"/>
      <c r="D642" s="28"/>
      <c r="E642" s="28"/>
      <c r="F642" s="28"/>
    </row>
    <row r="643">
      <c r="C643" s="28"/>
      <c r="D643" s="28"/>
      <c r="E643" s="28"/>
      <c r="F643" s="28"/>
    </row>
    <row r="644">
      <c r="C644" s="28"/>
      <c r="D644" s="28"/>
      <c r="E644" s="28"/>
      <c r="F644" s="28"/>
    </row>
    <row r="645">
      <c r="C645" s="28"/>
      <c r="D645" s="28"/>
      <c r="E645" s="28"/>
      <c r="F645" s="28"/>
    </row>
    <row r="646">
      <c r="C646" s="28"/>
      <c r="D646" s="28"/>
      <c r="E646" s="28"/>
      <c r="F646" s="28"/>
    </row>
    <row r="647">
      <c r="C647" s="28"/>
      <c r="D647" s="28"/>
      <c r="E647" s="28"/>
      <c r="F647" s="28"/>
    </row>
    <row r="648">
      <c r="C648" s="28"/>
      <c r="D648" s="28"/>
      <c r="E648" s="28"/>
      <c r="F648" s="28"/>
    </row>
    <row r="649">
      <c r="C649" s="28"/>
      <c r="D649" s="28"/>
      <c r="E649" s="28"/>
      <c r="F649" s="28"/>
    </row>
    <row r="650">
      <c r="C650" s="28"/>
      <c r="D650" s="28"/>
      <c r="E650" s="28"/>
      <c r="F650" s="28"/>
    </row>
    <row r="651">
      <c r="C651" s="28"/>
      <c r="D651" s="28"/>
      <c r="E651" s="28"/>
      <c r="F651" s="28"/>
    </row>
    <row r="652">
      <c r="C652" s="28"/>
      <c r="D652" s="28"/>
      <c r="E652" s="28"/>
      <c r="F652" s="28"/>
    </row>
    <row r="653">
      <c r="C653" s="28"/>
      <c r="D653" s="28"/>
      <c r="E653" s="28"/>
      <c r="F653" s="28"/>
    </row>
    <row r="654">
      <c r="C654" s="28"/>
      <c r="D654" s="28"/>
      <c r="E654" s="28"/>
      <c r="F654" s="28"/>
    </row>
    <row r="655">
      <c r="C655" s="28"/>
      <c r="D655" s="28"/>
      <c r="E655" s="28"/>
      <c r="F655" s="28"/>
    </row>
    <row r="656">
      <c r="C656" s="28"/>
      <c r="D656" s="28"/>
      <c r="E656" s="28"/>
      <c r="F656" s="28"/>
    </row>
    <row r="657">
      <c r="C657" s="28"/>
      <c r="D657" s="28"/>
      <c r="E657" s="28"/>
      <c r="F657" s="28"/>
    </row>
    <row r="658">
      <c r="C658" s="28"/>
      <c r="D658" s="28"/>
      <c r="E658" s="28"/>
      <c r="F658" s="28"/>
    </row>
    <row r="659">
      <c r="C659" s="28"/>
      <c r="D659" s="28"/>
      <c r="E659" s="28"/>
      <c r="F659" s="28"/>
    </row>
    <row r="660">
      <c r="C660" s="28"/>
      <c r="D660" s="28"/>
      <c r="E660" s="28"/>
      <c r="F660" s="28"/>
    </row>
    <row r="661">
      <c r="C661" s="28"/>
      <c r="D661" s="28"/>
      <c r="E661" s="28"/>
      <c r="F661" s="28"/>
    </row>
    <row r="662">
      <c r="C662" s="28"/>
      <c r="D662" s="28"/>
      <c r="E662" s="28"/>
      <c r="F662" s="28"/>
    </row>
    <row r="663">
      <c r="C663" s="28"/>
      <c r="D663" s="28"/>
      <c r="E663" s="28"/>
      <c r="F663" s="28"/>
    </row>
    <row r="664">
      <c r="C664" s="28"/>
      <c r="D664" s="28"/>
      <c r="E664" s="28"/>
      <c r="F664" s="28"/>
    </row>
    <row r="665">
      <c r="C665" s="28"/>
      <c r="D665" s="28"/>
      <c r="E665" s="28"/>
      <c r="F665" s="28"/>
    </row>
    <row r="666">
      <c r="C666" s="28"/>
      <c r="D666" s="28"/>
      <c r="E666" s="28"/>
      <c r="F666" s="28"/>
    </row>
    <row r="667">
      <c r="C667" s="28"/>
      <c r="D667" s="28"/>
      <c r="E667" s="28"/>
      <c r="F667" s="28"/>
    </row>
    <row r="668">
      <c r="C668" s="28"/>
      <c r="D668" s="28"/>
      <c r="E668" s="28"/>
      <c r="F668" s="28"/>
    </row>
    <row r="669">
      <c r="C669" s="28"/>
      <c r="D669" s="28"/>
      <c r="E669" s="28"/>
      <c r="F669" s="28"/>
    </row>
    <row r="670">
      <c r="C670" s="28"/>
      <c r="D670" s="28"/>
      <c r="E670" s="28"/>
      <c r="F670" s="28"/>
    </row>
    <row r="671">
      <c r="C671" s="28"/>
      <c r="D671" s="28"/>
      <c r="E671" s="28"/>
      <c r="F671" s="28"/>
    </row>
    <row r="672">
      <c r="C672" s="28"/>
      <c r="D672" s="28"/>
      <c r="E672" s="28"/>
      <c r="F672" s="28"/>
    </row>
    <row r="673">
      <c r="C673" s="28"/>
      <c r="D673" s="28"/>
      <c r="E673" s="28"/>
      <c r="F673" s="28"/>
    </row>
    <row r="674">
      <c r="C674" s="28"/>
      <c r="D674" s="28"/>
      <c r="E674" s="28"/>
      <c r="F674" s="28"/>
    </row>
    <row r="675">
      <c r="C675" s="28"/>
      <c r="D675" s="28"/>
      <c r="E675" s="28"/>
      <c r="F675" s="28"/>
    </row>
    <row r="676">
      <c r="C676" s="28"/>
      <c r="D676" s="28"/>
      <c r="E676" s="28"/>
      <c r="F676" s="28"/>
    </row>
    <row r="677">
      <c r="C677" s="28"/>
      <c r="D677" s="28"/>
      <c r="E677" s="28"/>
      <c r="F677" s="28"/>
    </row>
    <row r="678">
      <c r="C678" s="28"/>
      <c r="D678" s="28"/>
      <c r="E678" s="28"/>
      <c r="F678" s="28"/>
    </row>
    <row r="679">
      <c r="C679" s="28"/>
      <c r="D679" s="28"/>
      <c r="E679" s="28"/>
      <c r="F679" s="28"/>
    </row>
    <row r="680">
      <c r="C680" s="28"/>
      <c r="D680" s="28"/>
      <c r="E680" s="28"/>
      <c r="F680" s="28"/>
    </row>
    <row r="681">
      <c r="C681" s="28"/>
      <c r="D681" s="28"/>
      <c r="E681" s="28"/>
      <c r="F681" s="28"/>
    </row>
    <row r="682">
      <c r="C682" s="28"/>
      <c r="D682" s="28"/>
      <c r="E682" s="28"/>
      <c r="F682" s="28"/>
    </row>
    <row r="683">
      <c r="C683" s="28"/>
      <c r="D683" s="28"/>
      <c r="E683" s="28"/>
      <c r="F683" s="28"/>
    </row>
    <row r="684">
      <c r="C684" s="28"/>
      <c r="D684" s="28"/>
      <c r="E684" s="28"/>
      <c r="F684" s="28"/>
    </row>
    <row r="685">
      <c r="C685" s="28"/>
      <c r="D685" s="28"/>
      <c r="E685" s="28"/>
      <c r="F685" s="28"/>
    </row>
    <row r="686">
      <c r="C686" s="28"/>
      <c r="D686" s="28"/>
      <c r="E686" s="28"/>
      <c r="F686" s="28"/>
    </row>
    <row r="687">
      <c r="C687" s="28"/>
      <c r="D687" s="28"/>
      <c r="E687" s="28"/>
      <c r="F687" s="28"/>
    </row>
    <row r="688">
      <c r="C688" s="28"/>
      <c r="D688" s="28"/>
      <c r="E688" s="28"/>
      <c r="F688" s="28"/>
    </row>
    <row r="689">
      <c r="C689" s="28"/>
      <c r="D689" s="28"/>
      <c r="E689" s="28"/>
      <c r="F689" s="28"/>
    </row>
    <row r="690">
      <c r="C690" s="28"/>
      <c r="D690" s="28"/>
      <c r="E690" s="28"/>
      <c r="F690" s="28"/>
    </row>
    <row r="691">
      <c r="C691" s="28"/>
      <c r="D691" s="28"/>
      <c r="E691" s="28"/>
      <c r="F691" s="28"/>
    </row>
    <row r="692">
      <c r="C692" s="28"/>
      <c r="D692" s="28"/>
      <c r="E692" s="28"/>
      <c r="F692" s="28"/>
    </row>
    <row r="693">
      <c r="C693" s="28"/>
      <c r="D693" s="28"/>
      <c r="E693" s="28"/>
      <c r="F693" s="28"/>
    </row>
    <row r="694">
      <c r="C694" s="28"/>
      <c r="D694" s="28"/>
      <c r="E694" s="28"/>
      <c r="F694" s="28"/>
    </row>
    <row r="695">
      <c r="C695" s="28"/>
      <c r="D695" s="28"/>
      <c r="E695" s="28"/>
      <c r="F695" s="28"/>
    </row>
    <row r="696">
      <c r="C696" s="28"/>
      <c r="D696" s="28"/>
      <c r="E696" s="28"/>
      <c r="F696" s="28"/>
    </row>
    <row r="697">
      <c r="C697" s="28"/>
      <c r="D697" s="28"/>
      <c r="E697" s="28"/>
      <c r="F697" s="28"/>
    </row>
    <row r="698">
      <c r="C698" s="28"/>
      <c r="D698" s="28"/>
      <c r="E698" s="28"/>
      <c r="F698" s="28"/>
    </row>
    <row r="699">
      <c r="C699" s="28"/>
      <c r="D699" s="28"/>
      <c r="E699" s="28"/>
      <c r="F699" s="28"/>
    </row>
    <row r="700">
      <c r="C700" s="28"/>
      <c r="D700" s="28"/>
      <c r="E700" s="28"/>
      <c r="F700" s="28"/>
    </row>
    <row r="701">
      <c r="C701" s="28"/>
      <c r="D701" s="28"/>
      <c r="E701" s="28"/>
      <c r="F701" s="28"/>
    </row>
    <row r="702">
      <c r="C702" s="28"/>
      <c r="D702" s="28"/>
      <c r="E702" s="28"/>
      <c r="F702" s="28"/>
    </row>
    <row r="703">
      <c r="C703" s="28"/>
      <c r="D703" s="28"/>
      <c r="E703" s="28"/>
      <c r="F703" s="28"/>
    </row>
    <row r="704">
      <c r="C704" s="28"/>
      <c r="D704" s="28"/>
      <c r="E704" s="28"/>
      <c r="F704" s="28"/>
    </row>
    <row r="705">
      <c r="C705" s="28"/>
      <c r="D705" s="28"/>
      <c r="E705" s="28"/>
      <c r="F705" s="28"/>
    </row>
    <row r="706">
      <c r="C706" s="28"/>
      <c r="D706" s="28"/>
      <c r="E706" s="28"/>
      <c r="F706" s="28"/>
    </row>
    <row r="707">
      <c r="C707" s="28"/>
      <c r="D707" s="28"/>
      <c r="E707" s="28"/>
      <c r="F707" s="28"/>
    </row>
    <row r="708">
      <c r="C708" s="28"/>
      <c r="D708" s="28"/>
      <c r="E708" s="28"/>
      <c r="F708" s="28"/>
    </row>
    <row r="709">
      <c r="C709" s="28"/>
      <c r="D709" s="28"/>
      <c r="E709" s="28"/>
      <c r="F709" s="28"/>
    </row>
    <row r="710">
      <c r="C710" s="28"/>
      <c r="D710" s="28"/>
      <c r="E710" s="28"/>
      <c r="F710" s="28"/>
    </row>
    <row r="711">
      <c r="C711" s="28"/>
      <c r="D711" s="28"/>
      <c r="E711" s="28"/>
      <c r="F711" s="28"/>
    </row>
    <row r="712">
      <c r="C712" s="28"/>
      <c r="D712" s="28"/>
      <c r="E712" s="28"/>
      <c r="F712" s="28"/>
    </row>
    <row r="713">
      <c r="C713" s="28"/>
      <c r="D713" s="28"/>
      <c r="E713" s="28"/>
      <c r="F713" s="28"/>
    </row>
    <row r="714">
      <c r="C714" s="28"/>
      <c r="D714" s="28"/>
      <c r="E714" s="28"/>
      <c r="F714" s="28"/>
    </row>
    <row r="715">
      <c r="C715" s="28"/>
      <c r="D715" s="28"/>
      <c r="E715" s="28"/>
      <c r="F715" s="28"/>
    </row>
    <row r="716">
      <c r="C716" s="28"/>
      <c r="D716" s="28"/>
      <c r="E716" s="28"/>
      <c r="F716" s="28"/>
    </row>
    <row r="717">
      <c r="C717" s="28"/>
      <c r="D717" s="28"/>
      <c r="E717" s="28"/>
      <c r="F717" s="28"/>
    </row>
    <row r="718">
      <c r="C718" s="28"/>
      <c r="D718" s="28"/>
      <c r="E718" s="28"/>
      <c r="F718" s="28"/>
    </row>
    <row r="719">
      <c r="C719" s="28"/>
      <c r="D719" s="28"/>
      <c r="E719" s="28"/>
      <c r="F719" s="28"/>
    </row>
    <row r="720">
      <c r="C720" s="28"/>
      <c r="D720" s="28"/>
      <c r="E720" s="28"/>
      <c r="F720" s="28"/>
    </row>
    <row r="721">
      <c r="C721" s="28"/>
      <c r="D721" s="28"/>
      <c r="E721" s="28"/>
      <c r="F721" s="28"/>
    </row>
    <row r="722">
      <c r="C722" s="28"/>
      <c r="D722" s="28"/>
      <c r="E722" s="28"/>
      <c r="F722" s="28"/>
    </row>
    <row r="723">
      <c r="C723" s="28"/>
      <c r="D723" s="28"/>
      <c r="E723" s="28"/>
      <c r="F723" s="28"/>
    </row>
    <row r="724">
      <c r="C724" s="28"/>
      <c r="D724" s="28"/>
      <c r="E724" s="28"/>
      <c r="F724" s="28"/>
    </row>
    <row r="725">
      <c r="C725" s="28"/>
      <c r="D725" s="28"/>
      <c r="E725" s="28"/>
      <c r="F725" s="28"/>
    </row>
    <row r="726">
      <c r="C726" s="28"/>
      <c r="D726" s="28"/>
      <c r="E726" s="28"/>
      <c r="F726" s="28"/>
    </row>
    <row r="727">
      <c r="C727" s="28"/>
      <c r="D727" s="28"/>
      <c r="E727" s="28"/>
      <c r="F727" s="28"/>
    </row>
    <row r="728">
      <c r="C728" s="28"/>
      <c r="D728" s="28"/>
      <c r="E728" s="28"/>
      <c r="F728" s="28"/>
    </row>
    <row r="729">
      <c r="C729" s="28"/>
      <c r="D729" s="28"/>
      <c r="E729" s="28"/>
      <c r="F729" s="28"/>
    </row>
    <row r="730">
      <c r="C730" s="28"/>
      <c r="D730" s="28"/>
      <c r="E730" s="28"/>
      <c r="F730" s="28"/>
    </row>
    <row r="731">
      <c r="C731" s="28"/>
      <c r="D731" s="28"/>
      <c r="E731" s="28"/>
      <c r="F731" s="28"/>
    </row>
    <row r="732">
      <c r="C732" s="28"/>
      <c r="D732" s="28"/>
      <c r="E732" s="28"/>
      <c r="F732" s="28"/>
    </row>
    <row r="733">
      <c r="C733" s="28"/>
      <c r="D733" s="28"/>
      <c r="E733" s="28"/>
      <c r="F733" s="28"/>
    </row>
    <row r="734">
      <c r="C734" s="28"/>
      <c r="D734" s="28"/>
      <c r="E734" s="28"/>
      <c r="F734" s="28"/>
    </row>
    <row r="735">
      <c r="C735" s="28"/>
      <c r="D735" s="28"/>
      <c r="E735" s="28"/>
      <c r="F735" s="28"/>
    </row>
    <row r="736">
      <c r="C736" s="28"/>
      <c r="D736" s="28"/>
      <c r="E736" s="28"/>
      <c r="F736" s="28"/>
    </row>
    <row r="737">
      <c r="C737" s="28"/>
      <c r="D737" s="28"/>
      <c r="E737" s="28"/>
      <c r="F737" s="28"/>
    </row>
    <row r="738">
      <c r="C738" s="28"/>
      <c r="D738" s="28"/>
      <c r="E738" s="28"/>
      <c r="F738" s="28"/>
    </row>
    <row r="739">
      <c r="C739" s="28"/>
      <c r="D739" s="28"/>
      <c r="E739" s="28"/>
      <c r="F739" s="28"/>
    </row>
    <row r="740">
      <c r="C740" s="28"/>
      <c r="D740" s="28"/>
      <c r="E740" s="28"/>
      <c r="F740" s="28"/>
    </row>
    <row r="741">
      <c r="C741" s="28"/>
      <c r="D741" s="28"/>
      <c r="E741" s="28"/>
      <c r="F741" s="28"/>
    </row>
    <row r="742">
      <c r="C742" s="28"/>
      <c r="D742" s="28"/>
      <c r="E742" s="28"/>
      <c r="F742" s="28"/>
    </row>
    <row r="743">
      <c r="C743" s="28"/>
      <c r="D743" s="28"/>
      <c r="E743" s="28"/>
      <c r="F743" s="28"/>
    </row>
    <row r="744">
      <c r="C744" s="28"/>
      <c r="D744" s="28"/>
      <c r="E744" s="28"/>
      <c r="F744" s="28"/>
    </row>
    <row r="745">
      <c r="C745" s="28"/>
      <c r="D745" s="28"/>
      <c r="E745" s="28"/>
      <c r="F745" s="28"/>
    </row>
    <row r="746">
      <c r="C746" s="28"/>
      <c r="D746" s="28"/>
      <c r="E746" s="28"/>
      <c r="F746" s="28"/>
    </row>
    <row r="747">
      <c r="C747" s="28"/>
      <c r="D747" s="28"/>
      <c r="E747" s="28"/>
      <c r="F747" s="28"/>
    </row>
    <row r="748">
      <c r="C748" s="28"/>
      <c r="D748" s="28"/>
      <c r="E748" s="28"/>
      <c r="F748" s="28"/>
    </row>
    <row r="749">
      <c r="C749" s="28"/>
      <c r="D749" s="28"/>
      <c r="E749" s="28"/>
      <c r="F749" s="28"/>
    </row>
    <row r="750">
      <c r="C750" s="28"/>
      <c r="D750" s="28"/>
      <c r="E750" s="28"/>
      <c r="F750" s="28"/>
    </row>
    <row r="751">
      <c r="C751" s="28"/>
      <c r="D751" s="28"/>
      <c r="E751" s="28"/>
      <c r="F751" s="28"/>
    </row>
    <row r="752">
      <c r="C752" s="28"/>
      <c r="D752" s="28"/>
      <c r="E752" s="28"/>
      <c r="F752" s="28"/>
    </row>
    <row r="753">
      <c r="C753" s="28"/>
      <c r="D753" s="28"/>
      <c r="E753" s="28"/>
      <c r="F753" s="28"/>
    </row>
    <row r="754">
      <c r="C754" s="28"/>
      <c r="D754" s="28"/>
      <c r="E754" s="28"/>
      <c r="F754" s="28"/>
    </row>
    <row r="755">
      <c r="C755" s="28"/>
      <c r="D755" s="28"/>
      <c r="E755" s="28"/>
      <c r="F755" s="28"/>
    </row>
    <row r="756">
      <c r="C756" s="28"/>
      <c r="D756" s="28"/>
      <c r="E756" s="28"/>
      <c r="F756" s="28"/>
    </row>
    <row r="757">
      <c r="C757" s="28"/>
      <c r="D757" s="28"/>
      <c r="E757" s="28"/>
      <c r="F757" s="28"/>
    </row>
    <row r="758">
      <c r="C758" s="28"/>
      <c r="D758" s="28"/>
      <c r="E758" s="28"/>
      <c r="F758" s="28"/>
    </row>
    <row r="759">
      <c r="C759" s="28"/>
      <c r="D759" s="28"/>
      <c r="E759" s="28"/>
      <c r="F759" s="28"/>
    </row>
    <row r="760">
      <c r="C760" s="28"/>
      <c r="D760" s="28"/>
      <c r="E760" s="28"/>
      <c r="F760" s="28"/>
    </row>
    <row r="761">
      <c r="C761" s="28"/>
      <c r="D761" s="28"/>
      <c r="E761" s="28"/>
      <c r="F761" s="28"/>
    </row>
    <row r="762">
      <c r="C762" s="28"/>
      <c r="D762" s="28"/>
      <c r="E762" s="28"/>
      <c r="F762" s="28"/>
    </row>
    <row r="763">
      <c r="C763" s="28"/>
      <c r="D763" s="28"/>
      <c r="E763" s="28"/>
      <c r="F763" s="28"/>
    </row>
    <row r="764">
      <c r="C764" s="28"/>
      <c r="D764" s="28"/>
      <c r="E764" s="28"/>
      <c r="F764" s="28"/>
    </row>
    <row r="765">
      <c r="C765" s="28"/>
      <c r="D765" s="28"/>
      <c r="E765" s="28"/>
      <c r="F765" s="28"/>
    </row>
    <row r="766">
      <c r="C766" s="28"/>
      <c r="D766" s="28"/>
      <c r="E766" s="28"/>
      <c r="F766" s="28"/>
    </row>
    <row r="767">
      <c r="C767" s="28"/>
      <c r="D767" s="28"/>
      <c r="E767" s="28"/>
      <c r="F767" s="28"/>
    </row>
    <row r="768">
      <c r="C768" s="28"/>
      <c r="D768" s="28"/>
      <c r="E768" s="28"/>
      <c r="F768" s="28"/>
    </row>
    <row r="769">
      <c r="C769" s="28"/>
      <c r="D769" s="28"/>
      <c r="E769" s="28"/>
      <c r="F769" s="28"/>
    </row>
    <row r="770">
      <c r="C770" s="28"/>
      <c r="D770" s="28"/>
      <c r="E770" s="28"/>
      <c r="F770" s="28"/>
    </row>
    <row r="771">
      <c r="C771" s="28"/>
      <c r="D771" s="28"/>
      <c r="E771" s="28"/>
      <c r="F771" s="28"/>
    </row>
    <row r="772">
      <c r="C772" s="28"/>
      <c r="D772" s="28"/>
      <c r="E772" s="28"/>
      <c r="F772" s="28"/>
    </row>
    <row r="773">
      <c r="C773" s="28"/>
      <c r="D773" s="28"/>
      <c r="E773" s="28"/>
      <c r="F773" s="28"/>
    </row>
    <row r="774">
      <c r="C774" s="28"/>
      <c r="D774" s="28"/>
      <c r="E774" s="28"/>
      <c r="F774" s="28"/>
    </row>
    <row r="775">
      <c r="C775" s="28"/>
      <c r="D775" s="28"/>
      <c r="E775" s="28"/>
      <c r="F775" s="28"/>
    </row>
    <row r="776">
      <c r="C776" s="28"/>
      <c r="D776" s="28"/>
      <c r="E776" s="28"/>
      <c r="F776" s="28"/>
    </row>
    <row r="777">
      <c r="C777" s="28"/>
      <c r="D777" s="28"/>
      <c r="E777" s="28"/>
      <c r="F777" s="28"/>
    </row>
    <row r="778">
      <c r="C778" s="28"/>
      <c r="D778" s="28"/>
      <c r="E778" s="28"/>
      <c r="F778" s="28"/>
    </row>
    <row r="779">
      <c r="C779" s="28"/>
      <c r="D779" s="28"/>
      <c r="E779" s="28"/>
      <c r="F779" s="28"/>
    </row>
    <row r="780">
      <c r="C780" s="28"/>
      <c r="D780" s="28"/>
      <c r="E780" s="28"/>
      <c r="F780" s="28"/>
    </row>
    <row r="781">
      <c r="C781" s="28"/>
      <c r="D781" s="28"/>
      <c r="E781" s="28"/>
      <c r="F781" s="28"/>
    </row>
    <row r="782">
      <c r="C782" s="28"/>
      <c r="D782" s="28"/>
      <c r="E782" s="28"/>
      <c r="F782" s="28"/>
    </row>
    <row r="783">
      <c r="C783" s="28"/>
      <c r="D783" s="28"/>
      <c r="E783" s="28"/>
      <c r="F783" s="28"/>
    </row>
    <row r="784">
      <c r="C784" s="28"/>
      <c r="D784" s="28"/>
      <c r="E784" s="28"/>
      <c r="F784" s="28"/>
    </row>
    <row r="785">
      <c r="C785" s="28"/>
      <c r="D785" s="28"/>
      <c r="E785" s="28"/>
      <c r="F785" s="28"/>
    </row>
    <row r="786">
      <c r="C786" s="28"/>
      <c r="D786" s="28"/>
      <c r="E786" s="28"/>
      <c r="F786" s="28"/>
    </row>
    <row r="787">
      <c r="C787" s="28"/>
      <c r="D787" s="28"/>
      <c r="E787" s="28"/>
      <c r="F787" s="28"/>
    </row>
    <row r="788">
      <c r="C788" s="28"/>
      <c r="D788" s="28"/>
      <c r="E788" s="28"/>
      <c r="F788" s="28"/>
    </row>
    <row r="789">
      <c r="C789" s="28"/>
      <c r="D789" s="28"/>
      <c r="E789" s="28"/>
      <c r="F789" s="28"/>
    </row>
    <row r="790">
      <c r="C790" s="28"/>
      <c r="D790" s="28"/>
      <c r="E790" s="28"/>
      <c r="F790" s="28"/>
    </row>
    <row r="791">
      <c r="C791" s="28"/>
      <c r="D791" s="28"/>
      <c r="E791" s="28"/>
      <c r="F791" s="28"/>
    </row>
    <row r="792">
      <c r="C792" s="28"/>
      <c r="D792" s="28"/>
      <c r="E792" s="28"/>
      <c r="F792" s="28"/>
    </row>
    <row r="793">
      <c r="C793" s="28"/>
      <c r="D793" s="28"/>
      <c r="E793" s="28"/>
      <c r="F793" s="28"/>
    </row>
    <row r="794">
      <c r="C794" s="28"/>
      <c r="D794" s="28"/>
      <c r="E794" s="28"/>
      <c r="F794" s="28"/>
    </row>
    <row r="795">
      <c r="C795" s="28"/>
      <c r="D795" s="28"/>
      <c r="E795" s="28"/>
      <c r="F795" s="28"/>
    </row>
    <row r="796">
      <c r="C796" s="28"/>
      <c r="D796" s="28"/>
      <c r="E796" s="28"/>
      <c r="F796" s="28"/>
    </row>
    <row r="797">
      <c r="C797" s="28"/>
      <c r="D797" s="28"/>
      <c r="E797" s="28"/>
      <c r="F797" s="28"/>
    </row>
    <row r="798">
      <c r="C798" s="28"/>
      <c r="D798" s="28"/>
      <c r="E798" s="28"/>
      <c r="F798" s="28"/>
    </row>
    <row r="799">
      <c r="C799" s="28"/>
      <c r="D799" s="28"/>
      <c r="E799" s="28"/>
      <c r="F799" s="28"/>
    </row>
    <row r="800">
      <c r="C800" s="28"/>
      <c r="D800" s="28"/>
      <c r="E800" s="28"/>
      <c r="F800" s="28"/>
    </row>
    <row r="801">
      <c r="C801" s="28"/>
      <c r="D801" s="28"/>
      <c r="E801" s="28"/>
      <c r="F801" s="28"/>
    </row>
    <row r="802">
      <c r="C802" s="28"/>
      <c r="D802" s="28"/>
      <c r="E802" s="28"/>
      <c r="F802" s="28"/>
    </row>
    <row r="803">
      <c r="C803" s="28"/>
      <c r="D803" s="28"/>
      <c r="E803" s="28"/>
      <c r="F803" s="28"/>
    </row>
    <row r="804">
      <c r="C804" s="28"/>
      <c r="D804" s="28"/>
      <c r="E804" s="28"/>
      <c r="F804" s="28"/>
    </row>
    <row r="805">
      <c r="C805" s="28"/>
      <c r="D805" s="28"/>
      <c r="E805" s="28"/>
      <c r="F805" s="28"/>
    </row>
    <row r="806">
      <c r="C806" s="28"/>
      <c r="D806" s="28"/>
      <c r="E806" s="28"/>
      <c r="F806" s="28"/>
    </row>
    <row r="807">
      <c r="C807" s="28"/>
      <c r="D807" s="28"/>
      <c r="E807" s="28"/>
      <c r="F807" s="28"/>
    </row>
    <row r="808">
      <c r="C808" s="28"/>
      <c r="D808" s="28"/>
      <c r="E808" s="28"/>
      <c r="F808" s="28"/>
    </row>
    <row r="809">
      <c r="C809" s="28"/>
      <c r="D809" s="28"/>
      <c r="E809" s="28"/>
      <c r="F809" s="28"/>
    </row>
    <row r="810">
      <c r="C810" s="28"/>
      <c r="D810" s="28"/>
      <c r="E810" s="28"/>
      <c r="F810" s="28"/>
    </row>
    <row r="811">
      <c r="C811" s="28"/>
      <c r="D811" s="28"/>
      <c r="E811" s="28"/>
      <c r="F811" s="28"/>
    </row>
    <row r="812">
      <c r="C812" s="28"/>
      <c r="D812" s="28"/>
      <c r="E812" s="28"/>
      <c r="F812" s="28"/>
    </row>
    <row r="813">
      <c r="C813" s="28"/>
      <c r="D813" s="28"/>
      <c r="E813" s="28"/>
      <c r="F813" s="28"/>
    </row>
    <row r="814">
      <c r="C814" s="28"/>
      <c r="D814" s="28"/>
      <c r="E814" s="28"/>
      <c r="F814" s="28"/>
    </row>
    <row r="815">
      <c r="C815" s="28"/>
      <c r="D815" s="28"/>
      <c r="E815" s="28"/>
      <c r="F815" s="28"/>
    </row>
    <row r="816">
      <c r="C816" s="28"/>
      <c r="D816" s="28"/>
      <c r="E816" s="28"/>
      <c r="F816" s="28"/>
    </row>
    <row r="817">
      <c r="C817" s="28"/>
      <c r="D817" s="28"/>
      <c r="E817" s="28"/>
      <c r="F817" s="28"/>
    </row>
    <row r="818">
      <c r="C818" s="28"/>
      <c r="D818" s="28"/>
      <c r="E818" s="28"/>
      <c r="F818" s="28"/>
    </row>
    <row r="819">
      <c r="C819" s="28"/>
      <c r="D819" s="28"/>
      <c r="E819" s="28"/>
      <c r="F819" s="28"/>
    </row>
    <row r="820">
      <c r="C820" s="28"/>
      <c r="D820" s="28"/>
      <c r="E820" s="28"/>
      <c r="F820" s="28"/>
    </row>
    <row r="821">
      <c r="C821" s="28"/>
      <c r="D821" s="28"/>
      <c r="E821" s="28"/>
      <c r="F821" s="28"/>
    </row>
    <row r="822">
      <c r="C822" s="28"/>
      <c r="D822" s="28"/>
      <c r="E822" s="28"/>
      <c r="F822" s="28"/>
    </row>
    <row r="823">
      <c r="C823" s="28"/>
      <c r="D823" s="28"/>
      <c r="E823" s="28"/>
      <c r="F823" s="28"/>
    </row>
    <row r="824">
      <c r="C824" s="28"/>
      <c r="D824" s="28"/>
      <c r="E824" s="28"/>
      <c r="F824" s="28"/>
    </row>
    <row r="825">
      <c r="C825" s="28"/>
      <c r="D825" s="28"/>
      <c r="E825" s="28"/>
      <c r="F825" s="28"/>
    </row>
    <row r="826">
      <c r="C826" s="28"/>
      <c r="D826" s="28"/>
      <c r="E826" s="28"/>
      <c r="F826" s="28"/>
    </row>
    <row r="827">
      <c r="C827" s="28"/>
      <c r="D827" s="28"/>
      <c r="E827" s="28"/>
      <c r="F827" s="28"/>
    </row>
    <row r="828">
      <c r="C828" s="28"/>
      <c r="D828" s="28"/>
      <c r="E828" s="28"/>
      <c r="F828" s="28"/>
    </row>
    <row r="829">
      <c r="C829" s="28"/>
      <c r="D829" s="28"/>
      <c r="E829" s="28"/>
      <c r="F829" s="28"/>
    </row>
    <row r="830">
      <c r="C830" s="28"/>
      <c r="D830" s="28"/>
      <c r="E830" s="28"/>
      <c r="F830" s="28"/>
    </row>
    <row r="831">
      <c r="C831" s="28"/>
      <c r="D831" s="28"/>
      <c r="E831" s="28"/>
      <c r="F831" s="28"/>
    </row>
    <row r="832">
      <c r="C832" s="28"/>
      <c r="D832" s="28"/>
      <c r="E832" s="28"/>
      <c r="F832" s="28"/>
    </row>
    <row r="833">
      <c r="C833" s="28"/>
      <c r="D833" s="28"/>
      <c r="E833" s="28"/>
      <c r="F833" s="28"/>
    </row>
    <row r="834">
      <c r="C834" s="28"/>
      <c r="D834" s="28"/>
      <c r="E834" s="28"/>
      <c r="F834" s="28"/>
    </row>
    <row r="835">
      <c r="C835" s="28"/>
      <c r="D835" s="28"/>
      <c r="E835" s="28"/>
      <c r="F835" s="28"/>
    </row>
    <row r="836">
      <c r="C836" s="28"/>
      <c r="D836" s="28"/>
      <c r="E836" s="28"/>
      <c r="F836" s="28"/>
    </row>
    <row r="837">
      <c r="C837" s="28"/>
      <c r="D837" s="28"/>
      <c r="E837" s="28"/>
      <c r="F837" s="28"/>
    </row>
    <row r="838">
      <c r="C838" s="28"/>
      <c r="D838" s="28"/>
      <c r="E838" s="28"/>
      <c r="F838" s="28"/>
    </row>
    <row r="839">
      <c r="C839" s="28"/>
      <c r="D839" s="28"/>
      <c r="E839" s="28"/>
      <c r="F839" s="28"/>
    </row>
    <row r="840">
      <c r="C840" s="28"/>
      <c r="D840" s="28"/>
      <c r="E840" s="28"/>
      <c r="F840" s="28"/>
    </row>
    <row r="841">
      <c r="C841" s="28"/>
      <c r="D841" s="28"/>
      <c r="E841" s="28"/>
      <c r="F841" s="28"/>
    </row>
    <row r="842">
      <c r="C842" s="28"/>
      <c r="D842" s="28"/>
      <c r="E842" s="28"/>
      <c r="F842" s="28"/>
    </row>
    <row r="843">
      <c r="C843" s="28"/>
      <c r="D843" s="28"/>
      <c r="E843" s="28"/>
      <c r="F843" s="28"/>
    </row>
    <row r="844">
      <c r="C844" s="28"/>
      <c r="D844" s="28"/>
      <c r="E844" s="28"/>
      <c r="F844" s="28"/>
    </row>
    <row r="845">
      <c r="C845" s="28"/>
      <c r="D845" s="28"/>
      <c r="E845" s="28"/>
      <c r="F845" s="28"/>
    </row>
    <row r="846">
      <c r="C846" s="28"/>
      <c r="D846" s="28"/>
      <c r="E846" s="28"/>
      <c r="F846" s="28"/>
    </row>
    <row r="847">
      <c r="C847" s="28"/>
      <c r="D847" s="28"/>
      <c r="E847" s="28"/>
      <c r="F847" s="28"/>
    </row>
    <row r="848">
      <c r="C848" s="28"/>
      <c r="D848" s="28"/>
      <c r="E848" s="28"/>
      <c r="F848" s="28"/>
    </row>
    <row r="849">
      <c r="C849" s="28"/>
      <c r="D849" s="28"/>
      <c r="E849" s="28"/>
      <c r="F849" s="28"/>
    </row>
    <row r="850">
      <c r="C850" s="28"/>
      <c r="D850" s="28"/>
      <c r="E850" s="28"/>
      <c r="F850" s="28"/>
    </row>
    <row r="851">
      <c r="C851" s="28"/>
      <c r="D851" s="28"/>
      <c r="E851" s="28"/>
      <c r="F851" s="28"/>
    </row>
    <row r="852">
      <c r="C852" s="28"/>
      <c r="D852" s="28"/>
      <c r="E852" s="28"/>
      <c r="F852" s="28"/>
    </row>
    <row r="853">
      <c r="C853" s="28"/>
      <c r="D853" s="28"/>
      <c r="E853" s="28"/>
      <c r="F853" s="28"/>
    </row>
    <row r="854">
      <c r="C854" s="28"/>
      <c r="D854" s="28"/>
      <c r="E854" s="28"/>
      <c r="F854" s="28"/>
    </row>
    <row r="855">
      <c r="C855" s="28"/>
      <c r="D855" s="28"/>
      <c r="E855" s="28"/>
      <c r="F855" s="28"/>
    </row>
    <row r="856">
      <c r="C856" s="28"/>
      <c r="D856" s="28"/>
      <c r="E856" s="28"/>
      <c r="F856" s="28"/>
    </row>
    <row r="857">
      <c r="C857" s="28"/>
      <c r="D857" s="28"/>
      <c r="E857" s="28"/>
      <c r="F857" s="28"/>
    </row>
    <row r="858">
      <c r="C858" s="28"/>
      <c r="D858" s="28"/>
      <c r="E858" s="28"/>
      <c r="F858" s="28"/>
    </row>
    <row r="859">
      <c r="C859" s="28"/>
      <c r="D859" s="28"/>
      <c r="E859" s="28"/>
      <c r="F859" s="28"/>
    </row>
    <row r="860">
      <c r="C860" s="28"/>
      <c r="D860" s="28"/>
      <c r="E860" s="28"/>
      <c r="F860" s="28"/>
    </row>
    <row r="861">
      <c r="C861" s="28"/>
      <c r="D861" s="28"/>
      <c r="E861" s="28"/>
      <c r="F861" s="28"/>
    </row>
    <row r="862">
      <c r="C862" s="28"/>
      <c r="D862" s="28"/>
      <c r="E862" s="28"/>
      <c r="F862" s="28"/>
    </row>
    <row r="863">
      <c r="C863" s="28"/>
      <c r="D863" s="28"/>
      <c r="E863" s="28"/>
      <c r="F863" s="28"/>
    </row>
    <row r="864">
      <c r="C864" s="28"/>
      <c r="D864" s="28"/>
      <c r="E864" s="28"/>
      <c r="F864" s="28"/>
    </row>
    <row r="865">
      <c r="C865" s="28"/>
      <c r="D865" s="28"/>
      <c r="E865" s="28"/>
      <c r="F865" s="28"/>
    </row>
    <row r="866">
      <c r="C866" s="28"/>
      <c r="D866" s="28"/>
      <c r="E866" s="28"/>
      <c r="F866" s="28"/>
    </row>
    <row r="867">
      <c r="C867" s="28"/>
      <c r="D867" s="28"/>
      <c r="E867" s="28"/>
      <c r="F867" s="28"/>
    </row>
    <row r="868">
      <c r="C868" s="28"/>
      <c r="D868" s="28"/>
      <c r="E868" s="28"/>
      <c r="F868" s="28"/>
    </row>
    <row r="869">
      <c r="C869" s="28"/>
      <c r="D869" s="28"/>
      <c r="E869" s="28"/>
      <c r="F869" s="28"/>
    </row>
    <row r="870">
      <c r="C870" s="28"/>
      <c r="D870" s="28"/>
      <c r="E870" s="28"/>
      <c r="F870" s="28"/>
    </row>
    <row r="871">
      <c r="C871" s="28"/>
      <c r="D871" s="28"/>
      <c r="E871" s="28"/>
      <c r="F871" s="28"/>
    </row>
    <row r="872">
      <c r="C872" s="28"/>
      <c r="D872" s="28"/>
      <c r="E872" s="28"/>
      <c r="F872" s="28"/>
    </row>
    <row r="873">
      <c r="C873" s="28"/>
      <c r="D873" s="28"/>
      <c r="E873" s="28"/>
      <c r="F873" s="28"/>
    </row>
    <row r="874">
      <c r="C874" s="28"/>
      <c r="D874" s="28"/>
      <c r="E874" s="28"/>
      <c r="F874" s="28"/>
    </row>
    <row r="875">
      <c r="C875" s="28"/>
      <c r="D875" s="28"/>
      <c r="E875" s="28"/>
      <c r="F875" s="28"/>
    </row>
    <row r="876">
      <c r="C876" s="28"/>
      <c r="D876" s="28"/>
      <c r="E876" s="28"/>
      <c r="F876" s="28"/>
    </row>
    <row r="877">
      <c r="C877" s="28"/>
      <c r="D877" s="28"/>
      <c r="E877" s="28"/>
      <c r="F877" s="28"/>
    </row>
    <row r="878">
      <c r="C878" s="28"/>
      <c r="D878" s="28"/>
      <c r="E878" s="28"/>
      <c r="F878" s="28"/>
    </row>
    <row r="879">
      <c r="C879" s="28"/>
      <c r="D879" s="28"/>
      <c r="E879" s="28"/>
      <c r="F879" s="28"/>
    </row>
    <row r="880">
      <c r="C880" s="28"/>
      <c r="D880" s="28"/>
      <c r="E880" s="28"/>
      <c r="F880" s="28"/>
    </row>
    <row r="881">
      <c r="C881" s="28"/>
      <c r="D881" s="28"/>
      <c r="E881" s="28"/>
      <c r="F881" s="28"/>
    </row>
    <row r="882">
      <c r="C882" s="28"/>
      <c r="D882" s="28"/>
      <c r="E882" s="28"/>
      <c r="F882" s="28"/>
    </row>
    <row r="883">
      <c r="C883" s="28"/>
      <c r="D883" s="28"/>
      <c r="E883" s="28"/>
      <c r="F883" s="28"/>
    </row>
    <row r="884">
      <c r="C884" s="28"/>
      <c r="D884" s="28"/>
      <c r="E884" s="28"/>
      <c r="F884" s="28"/>
    </row>
    <row r="885">
      <c r="C885" s="28"/>
      <c r="D885" s="28"/>
      <c r="E885" s="28"/>
      <c r="F885" s="28"/>
    </row>
    <row r="886">
      <c r="C886" s="28"/>
      <c r="D886" s="28"/>
      <c r="E886" s="28"/>
      <c r="F886" s="28"/>
    </row>
    <row r="887">
      <c r="C887" s="28"/>
      <c r="D887" s="28"/>
      <c r="E887" s="28"/>
      <c r="F887" s="28"/>
    </row>
    <row r="888">
      <c r="C888" s="28"/>
      <c r="D888" s="28"/>
      <c r="E888" s="28"/>
      <c r="F888" s="28"/>
    </row>
    <row r="889">
      <c r="C889" s="28"/>
      <c r="D889" s="28"/>
      <c r="E889" s="28"/>
      <c r="F889" s="28"/>
    </row>
    <row r="890">
      <c r="C890" s="28"/>
      <c r="D890" s="28"/>
      <c r="E890" s="28"/>
      <c r="F890" s="28"/>
    </row>
    <row r="891">
      <c r="C891" s="28"/>
      <c r="D891" s="28"/>
      <c r="E891" s="28"/>
      <c r="F891" s="28"/>
    </row>
    <row r="892">
      <c r="C892" s="28"/>
      <c r="D892" s="28"/>
      <c r="E892" s="28"/>
      <c r="F892" s="28"/>
    </row>
    <row r="893">
      <c r="C893" s="28"/>
      <c r="D893" s="28"/>
      <c r="E893" s="28"/>
      <c r="F893" s="28"/>
    </row>
    <row r="894">
      <c r="C894" s="28"/>
      <c r="D894" s="28"/>
      <c r="E894" s="28"/>
      <c r="F894" s="28"/>
    </row>
    <row r="895">
      <c r="C895" s="28"/>
      <c r="D895" s="28"/>
      <c r="E895" s="28"/>
      <c r="F895" s="28"/>
    </row>
    <row r="896">
      <c r="C896" s="28"/>
      <c r="D896" s="28"/>
      <c r="E896" s="28"/>
      <c r="F896" s="28"/>
    </row>
    <row r="897">
      <c r="C897" s="28"/>
      <c r="D897" s="28"/>
      <c r="E897" s="28"/>
      <c r="F897" s="28"/>
    </row>
    <row r="898">
      <c r="C898" s="28"/>
      <c r="D898" s="28"/>
      <c r="E898" s="28"/>
      <c r="F898" s="28"/>
    </row>
    <row r="899">
      <c r="C899" s="28"/>
      <c r="D899" s="28"/>
      <c r="E899" s="28"/>
      <c r="F899" s="28"/>
    </row>
    <row r="900">
      <c r="C900" s="28"/>
      <c r="D900" s="28"/>
      <c r="E900" s="28"/>
      <c r="F900" s="28"/>
    </row>
    <row r="901">
      <c r="C901" s="28"/>
      <c r="D901" s="28"/>
      <c r="E901" s="28"/>
      <c r="F901" s="28"/>
    </row>
    <row r="902">
      <c r="C902" s="28"/>
      <c r="D902" s="28"/>
      <c r="E902" s="28"/>
      <c r="F902" s="28"/>
    </row>
    <row r="903">
      <c r="C903" s="28"/>
      <c r="D903" s="28"/>
      <c r="E903" s="28"/>
      <c r="F903" s="28"/>
    </row>
    <row r="904">
      <c r="C904" s="28"/>
      <c r="D904" s="28"/>
      <c r="E904" s="28"/>
      <c r="F904" s="28"/>
    </row>
    <row r="905">
      <c r="C905" s="28"/>
      <c r="D905" s="28"/>
      <c r="E905" s="28"/>
      <c r="F905" s="28"/>
    </row>
    <row r="906">
      <c r="C906" s="28"/>
      <c r="D906" s="28"/>
      <c r="E906" s="28"/>
      <c r="F906" s="28"/>
    </row>
    <row r="907">
      <c r="C907" s="28"/>
      <c r="D907" s="28"/>
      <c r="E907" s="28"/>
      <c r="F907" s="28"/>
    </row>
    <row r="908">
      <c r="C908" s="28"/>
      <c r="D908" s="28"/>
      <c r="E908" s="28"/>
      <c r="F908" s="28"/>
    </row>
    <row r="909">
      <c r="C909" s="28"/>
      <c r="D909" s="28"/>
      <c r="E909" s="28"/>
      <c r="F909" s="28"/>
    </row>
    <row r="910">
      <c r="C910" s="28"/>
      <c r="D910" s="28"/>
      <c r="E910" s="28"/>
      <c r="F910" s="28"/>
    </row>
    <row r="911">
      <c r="C911" s="28"/>
      <c r="D911" s="28"/>
      <c r="E911" s="28"/>
      <c r="F911" s="28"/>
    </row>
    <row r="912">
      <c r="C912" s="28"/>
      <c r="D912" s="28"/>
      <c r="E912" s="28"/>
      <c r="F912" s="28"/>
    </row>
    <row r="913">
      <c r="C913" s="28"/>
      <c r="D913" s="28"/>
      <c r="E913" s="28"/>
      <c r="F913" s="28"/>
    </row>
    <row r="914">
      <c r="C914" s="28"/>
      <c r="D914" s="28"/>
      <c r="E914" s="28"/>
      <c r="F914" s="28"/>
    </row>
    <row r="915">
      <c r="C915" s="28"/>
      <c r="D915" s="28"/>
      <c r="E915" s="28"/>
      <c r="F915" s="28"/>
    </row>
    <row r="916">
      <c r="C916" s="28"/>
      <c r="D916" s="28"/>
      <c r="E916" s="28"/>
      <c r="F916" s="28"/>
    </row>
    <row r="917">
      <c r="C917" s="28"/>
      <c r="D917" s="28"/>
      <c r="E917" s="28"/>
      <c r="F917" s="28"/>
    </row>
    <row r="918">
      <c r="C918" s="28"/>
      <c r="D918" s="28"/>
      <c r="E918" s="28"/>
      <c r="F918" s="28"/>
    </row>
    <row r="919">
      <c r="C919" s="28"/>
      <c r="D919" s="28"/>
      <c r="E919" s="28"/>
      <c r="F919" s="28"/>
    </row>
    <row r="920">
      <c r="C920" s="28"/>
      <c r="D920" s="28"/>
      <c r="E920" s="28"/>
      <c r="F920" s="28"/>
    </row>
    <row r="921">
      <c r="C921" s="28"/>
      <c r="D921" s="28"/>
      <c r="E921" s="28"/>
      <c r="F921" s="28"/>
    </row>
    <row r="922">
      <c r="C922" s="28"/>
      <c r="D922" s="28"/>
      <c r="E922" s="28"/>
      <c r="F922" s="28"/>
    </row>
    <row r="923">
      <c r="C923" s="28"/>
      <c r="D923" s="28"/>
      <c r="E923" s="28"/>
      <c r="F923" s="28"/>
    </row>
    <row r="924">
      <c r="C924" s="28"/>
      <c r="D924" s="28"/>
      <c r="E924" s="28"/>
      <c r="F924" s="28"/>
    </row>
    <row r="925">
      <c r="C925" s="28"/>
      <c r="D925" s="28"/>
      <c r="E925" s="28"/>
      <c r="F925" s="28"/>
    </row>
    <row r="926">
      <c r="C926" s="28"/>
      <c r="D926" s="28"/>
      <c r="E926" s="28"/>
      <c r="F926" s="28"/>
    </row>
    <row r="927">
      <c r="C927" s="28"/>
      <c r="D927" s="28"/>
      <c r="E927" s="28"/>
      <c r="F927" s="28"/>
    </row>
    <row r="928">
      <c r="C928" s="28"/>
      <c r="D928" s="28"/>
      <c r="E928" s="28"/>
      <c r="F928" s="28"/>
    </row>
    <row r="929">
      <c r="C929" s="28"/>
      <c r="D929" s="28"/>
      <c r="E929" s="28"/>
      <c r="F929" s="28"/>
    </row>
    <row r="930">
      <c r="C930" s="28"/>
      <c r="D930" s="28"/>
      <c r="E930" s="28"/>
      <c r="F930" s="28"/>
    </row>
    <row r="931">
      <c r="C931" s="28"/>
      <c r="D931" s="28"/>
      <c r="E931" s="28"/>
      <c r="F931" s="28"/>
    </row>
    <row r="932">
      <c r="C932" s="28"/>
      <c r="D932" s="28"/>
      <c r="E932" s="28"/>
      <c r="F932" s="28"/>
    </row>
    <row r="933">
      <c r="C933" s="28"/>
      <c r="D933" s="28"/>
      <c r="E933" s="28"/>
      <c r="F933" s="28"/>
    </row>
    <row r="934">
      <c r="C934" s="28"/>
      <c r="D934" s="28"/>
      <c r="E934" s="28"/>
      <c r="F934" s="28"/>
    </row>
    <row r="935">
      <c r="C935" s="28"/>
      <c r="D935" s="28"/>
      <c r="E935" s="28"/>
      <c r="F935" s="28"/>
    </row>
    <row r="936">
      <c r="C936" s="28"/>
      <c r="D936" s="28"/>
      <c r="E936" s="28"/>
      <c r="F936" s="28"/>
    </row>
    <row r="937">
      <c r="C937" s="28"/>
      <c r="D937" s="28"/>
      <c r="E937" s="28"/>
      <c r="F937" s="28"/>
    </row>
    <row r="938">
      <c r="C938" s="28"/>
      <c r="D938" s="28"/>
      <c r="E938" s="28"/>
      <c r="F938" s="28"/>
    </row>
    <row r="939">
      <c r="C939" s="28"/>
      <c r="D939" s="28"/>
      <c r="E939" s="28"/>
      <c r="F939" s="28"/>
    </row>
    <row r="940">
      <c r="C940" s="28"/>
      <c r="D940" s="28"/>
      <c r="E940" s="28"/>
      <c r="F940" s="28"/>
    </row>
    <row r="941">
      <c r="C941" s="28"/>
      <c r="D941" s="28"/>
      <c r="E941" s="28"/>
      <c r="F941" s="28"/>
    </row>
    <row r="942">
      <c r="C942" s="28"/>
      <c r="D942" s="28"/>
      <c r="E942" s="28"/>
      <c r="F942" s="28"/>
    </row>
    <row r="943">
      <c r="C943" s="28"/>
      <c r="D943" s="28"/>
      <c r="E943" s="28"/>
      <c r="F943" s="28"/>
    </row>
    <row r="944">
      <c r="C944" s="28"/>
      <c r="D944" s="28"/>
      <c r="E944" s="28"/>
      <c r="F944" s="28"/>
    </row>
    <row r="945">
      <c r="C945" s="28"/>
      <c r="D945" s="28"/>
      <c r="E945" s="28"/>
      <c r="F945" s="28"/>
    </row>
    <row r="946">
      <c r="C946" s="28"/>
      <c r="D946" s="28"/>
      <c r="E946" s="28"/>
      <c r="F946" s="28"/>
    </row>
    <row r="947">
      <c r="C947" s="28"/>
      <c r="D947" s="28"/>
      <c r="E947" s="28"/>
      <c r="F947" s="28"/>
    </row>
    <row r="948">
      <c r="C948" s="28"/>
      <c r="D948" s="28"/>
      <c r="E948" s="28"/>
      <c r="F948" s="28"/>
    </row>
    <row r="949">
      <c r="C949" s="28"/>
      <c r="D949" s="28"/>
      <c r="E949" s="28"/>
      <c r="F949" s="28"/>
    </row>
    <row r="950">
      <c r="C950" s="28"/>
      <c r="D950" s="28"/>
      <c r="E950" s="28"/>
      <c r="F950" s="28"/>
    </row>
    <row r="951">
      <c r="C951" s="28"/>
      <c r="D951" s="28"/>
      <c r="E951" s="28"/>
      <c r="F951" s="28"/>
    </row>
    <row r="952">
      <c r="C952" s="28"/>
      <c r="D952" s="28"/>
      <c r="E952" s="28"/>
      <c r="F952" s="28"/>
    </row>
    <row r="953">
      <c r="C953" s="28"/>
      <c r="D953" s="28"/>
      <c r="E953" s="28"/>
      <c r="F953" s="28"/>
    </row>
    <row r="954">
      <c r="C954" s="28"/>
      <c r="D954" s="28"/>
      <c r="E954" s="28"/>
      <c r="F954" s="28"/>
    </row>
    <row r="955">
      <c r="C955" s="28"/>
      <c r="D955" s="28"/>
      <c r="E955" s="28"/>
      <c r="F955" s="28"/>
    </row>
    <row r="956">
      <c r="C956" s="28"/>
      <c r="D956" s="28"/>
      <c r="E956" s="28"/>
      <c r="F956" s="28"/>
    </row>
    <row r="957">
      <c r="C957" s="28"/>
      <c r="D957" s="28"/>
      <c r="E957" s="28"/>
      <c r="F957" s="28"/>
    </row>
    <row r="958">
      <c r="C958" s="28"/>
      <c r="D958" s="28"/>
      <c r="E958" s="28"/>
      <c r="F958" s="28"/>
    </row>
    <row r="959">
      <c r="C959" s="28"/>
      <c r="D959" s="28"/>
      <c r="E959" s="28"/>
      <c r="F959" s="28"/>
    </row>
    <row r="960">
      <c r="C960" s="28"/>
      <c r="D960" s="28"/>
      <c r="E960" s="28"/>
      <c r="F960" s="28"/>
    </row>
    <row r="961">
      <c r="C961" s="28"/>
      <c r="D961" s="28"/>
      <c r="E961" s="28"/>
      <c r="F961" s="28"/>
    </row>
    <row r="962">
      <c r="C962" s="28"/>
      <c r="D962" s="28"/>
      <c r="E962" s="28"/>
      <c r="F962" s="28"/>
    </row>
    <row r="963">
      <c r="C963" s="28"/>
      <c r="D963" s="28"/>
      <c r="E963" s="28"/>
      <c r="F963" s="28"/>
    </row>
    <row r="964">
      <c r="C964" s="28"/>
      <c r="D964" s="28"/>
      <c r="E964" s="28"/>
      <c r="F964" s="28"/>
    </row>
    <row r="965">
      <c r="C965" s="28"/>
      <c r="D965" s="28"/>
      <c r="E965" s="28"/>
      <c r="F965" s="28"/>
    </row>
    <row r="966">
      <c r="C966" s="28"/>
      <c r="D966" s="28"/>
      <c r="E966" s="28"/>
      <c r="F966" s="28"/>
    </row>
    <row r="967">
      <c r="C967" s="28"/>
      <c r="D967" s="28"/>
      <c r="E967" s="28"/>
      <c r="F967" s="28"/>
    </row>
    <row r="968">
      <c r="C968" s="28"/>
      <c r="D968" s="28"/>
      <c r="E968" s="28"/>
      <c r="F968" s="28"/>
    </row>
    <row r="969">
      <c r="C969" s="28"/>
      <c r="D969" s="28"/>
      <c r="E969" s="28"/>
      <c r="F969" s="28"/>
    </row>
    <row r="970">
      <c r="C970" s="28"/>
      <c r="D970" s="28"/>
      <c r="E970" s="28"/>
      <c r="F970" s="28"/>
    </row>
    <row r="971">
      <c r="C971" s="28"/>
      <c r="D971" s="28"/>
      <c r="E971" s="28"/>
      <c r="F971" s="28"/>
    </row>
    <row r="972">
      <c r="C972" s="28"/>
      <c r="D972" s="28"/>
      <c r="E972" s="28"/>
      <c r="F972" s="28"/>
    </row>
    <row r="973">
      <c r="C973" s="28"/>
      <c r="D973" s="28"/>
      <c r="E973" s="28"/>
      <c r="F973" s="28"/>
    </row>
    <row r="974">
      <c r="C974" s="28"/>
      <c r="D974" s="28"/>
      <c r="E974" s="28"/>
      <c r="F974" s="28"/>
    </row>
    <row r="975">
      <c r="C975" s="28"/>
      <c r="D975" s="28"/>
      <c r="E975" s="28"/>
      <c r="F975" s="28"/>
    </row>
    <row r="976">
      <c r="C976" s="28"/>
      <c r="D976" s="28"/>
      <c r="E976" s="28"/>
      <c r="F976" s="28"/>
    </row>
    <row r="977">
      <c r="C977" s="28"/>
      <c r="D977" s="28"/>
      <c r="E977" s="28"/>
      <c r="F977" s="28"/>
    </row>
    <row r="978">
      <c r="C978" s="28"/>
      <c r="D978" s="28"/>
      <c r="E978" s="28"/>
      <c r="F978" s="28"/>
    </row>
    <row r="979">
      <c r="C979" s="28"/>
      <c r="D979" s="28"/>
      <c r="E979" s="28"/>
      <c r="F979" s="28"/>
    </row>
    <row r="980">
      <c r="C980" s="28"/>
      <c r="D980" s="28"/>
      <c r="E980" s="28"/>
      <c r="F980" s="28"/>
    </row>
    <row r="981">
      <c r="C981" s="28"/>
      <c r="D981" s="28"/>
      <c r="E981" s="28"/>
      <c r="F981" s="28"/>
    </row>
    <row r="982">
      <c r="C982" s="28"/>
      <c r="D982" s="28"/>
      <c r="E982" s="28"/>
      <c r="F982" s="28"/>
    </row>
    <row r="983">
      <c r="C983" s="28"/>
      <c r="D983" s="28"/>
      <c r="E983" s="28"/>
      <c r="F983" s="28"/>
    </row>
    <row r="984">
      <c r="C984" s="28"/>
      <c r="D984" s="28"/>
      <c r="E984" s="28"/>
      <c r="F984" s="28"/>
    </row>
    <row r="985">
      <c r="C985" s="28"/>
      <c r="D985" s="28"/>
      <c r="E985" s="28"/>
      <c r="F985" s="28"/>
    </row>
    <row r="986">
      <c r="C986" s="28"/>
      <c r="D986" s="28"/>
      <c r="E986" s="28"/>
      <c r="F986" s="28"/>
    </row>
    <row r="987">
      <c r="C987" s="28"/>
      <c r="D987" s="28"/>
      <c r="E987" s="28"/>
      <c r="F987" s="28"/>
    </row>
    <row r="988">
      <c r="C988" s="28"/>
      <c r="D988" s="28"/>
      <c r="E988" s="28"/>
      <c r="F988" s="28"/>
    </row>
    <row r="989">
      <c r="C989" s="28"/>
      <c r="D989" s="28"/>
      <c r="E989" s="28"/>
      <c r="F989" s="28"/>
    </row>
    <row r="990">
      <c r="C990" s="28"/>
      <c r="D990" s="28"/>
      <c r="E990" s="28"/>
      <c r="F990" s="28"/>
    </row>
    <row r="991">
      <c r="C991" s="28"/>
      <c r="D991" s="28"/>
      <c r="E991" s="28"/>
      <c r="F991" s="28"/>
    </row>
    <row r="992">
      <c r="C992" s="28"/>
      <c r="D992" s="28"/>
      <c r="E992" s="28"/>
      <c r="F992" s="28"/>
    </row>
    <row r="993">
      <c r="C993" s="28"/>
      <c r="D993" s="28"/>
      <c r="E993" s="28"/>
      <c r="F993" s="28"/>
    </row>
    <row r="994">
      <c r="C994" s="28"/>
      <c r="D994" s="28"/>
      <c r="E994" s="28"/>
      <c r="F994" s="28"/>
    </row>
    <row r="995">
      <c r="C995" s="28"/>
      <c r="D995" s="28"/>
      <c r="E995" s="28"/>
      <c r="F995" s="28"/>
    </row>
    <row r="996">
      <c r="C996" s="28"/>
      <c r="D996" s="28"/>
      <c r="E996" s="28"/>
      <c r="F996" s="28"/>
    </row>
    <row r="997">
      <c r="C997" s="28"/>
      <c r="D997" s="28"/>
      <c r="E997" s="28"/>
      <c r="F997" s="28"/>
    </row>
    <row r="998">
      <c r="C998" s="28"/>
      <c r="D998" s="28"/>
      <c r="E998" s="28"/>
      <c r="F998" s="28"/>
    </row>
    <row r="999">
      <c r="C999" s="28"/>
      <c r="D999" s="28"/>
      <c r="E999" s="28"/>
      <c r="F999" s="28"/>
    </row>
    <row r="1000">
      <c r="C1000" s="28"/>
      <c r="D1000" s="28"/>
      <c r="E1000" s="28"/>
      <c r="F1000" s="28"/>
    </row>
  </sheetData>
  <conditionalFormatting sqref="H1:H1000">
    <cfRule type="colorScale" priority="1">
      <colorScale>
        <cfvo type="min"/>
        <cfvo type="formula" val="1.5"/>
        <color rgb="FF4A86E8"/>
        <color rgb="FF34A853"/>
      </colorScale>
    </cfRule>
  </conditionalFormatting>
  <conditionalFormatting sqref="L2:L15">
    <cfRule type="colorScale" priority="2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M2:M15">
    <cfRule type="colorScale" priority="3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L16:L27">
    <cfRule type="colorScale" priority="4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M16:M27">
    <cfRule type="colorScale" priority="5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L28:L36">
    <cfRule type="colorScale" priority="6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M28:M36">
    <cfRule type="colorScale" priority="7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K2:K15">
    <cfRule type="colorScale" priority="8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K16:K27">
    <cfRule type="colorScale" priority="9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K28:K36">
    <cfRule type="colorScale" priority="10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J2:J15">
    <cfRule type="colorScale" priority="11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J16:J27">
    <cfRule type="colorScale" priority="12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J28:J36">
    <cfRule type="colorScale" priority="13">
      <colorScale>
        <cfvo type="min"/>
        <cfvo type="percent" val="50"/>
        <cfvo type="max"/>
        <color rgb="FFEA4335"/>
        <color rgb="FFFBBC04"/>
        <color rgb="FF34A85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29" t="s">
        <v>10</v>
      </c>
      <c r="B1" s="29" t="s">
        <v>12</v>
      </c>
      <c r="C1" s="30" t="s">
        <v>505</v>
      </c>
      <c r="D1" s="30" t="s">
        <v>506</v>
      </c>
      <c r="E1" s="29" t="s">
        <v>507</v>
      </c>
      <c r="F1" s="30" t="s">
        <v>508</v>
      </c>
      <c r="G1" s="30" t="s">
        <v>509</v>
      </c>
      <c r="H1" s="30" t="s">
        <v>466</v>
      </c>
      <c r="I1" s="31" t="s">
        <v>467</v>
      </c>
      <c r="J1" s="32" t="s">
        <v>510</v>
      </c>
      <c r="K1" s="30" t="s">
        <v>511</v>
      </c>
    </row>
    <row r="2">
      <c r="A2" s="29" t="s">
        <v>512</v>
      </c>
      <c r="B2" s="33"/>
      <c r="C2" s="34"/>
      <c r="D2" s="34"/>
      <c r="E2" s="29" t="s">
        <v>513</v>
      </c>
      <c r="F2" s="34"/>
      <c r="G2" s="34"/>
      <c r="H2" s="34"/>
      <c r="I2" s="35"/>
      <c r="J2" s="36"/>
      <c r="K2" s="34"/>
    </row>
    <row r="3">
      <c r="A3" s="29" t="s">
        <v>514</v>
      </c>
      <c r="B3" s="29" t="s">
        <v>73</v>
      </c>
      <c r="C3" s="37">
        <v>84.0</v>
      </c>
      <c r="D3" s="38">
        <v>180.0</v>
      </c>
      <c r="E3" s="39">
        <f t="shared" ref="E3:E10" si="1">D3*G3/1000</f>
        <v>4.5</v>
      </c>
      <c r="F3" s="37">
        <v>58.0</v>
      </c>
      <c r="G3" s="40">
        <v>25.0</v>
      </c>
      <c r="H3" s="37">
        <v>110.0</v>
      </c>
      <c r="I3" s="41">
        <v>2.0</v>
      </c>
      <c r="J3" s="42">
        <f t="shared" ref="J3:J10" si="2">D3/C3</f>
        <v>2.142857143</v>
      </c>
      <c r="K3" s="43">
        <f t="shared" ref="K3:K10" si="3">G3*C3</f>
        <v>2100</v>
      </c>
    </row>
    <row r="4">
      <c r="A4" s="29" t="s">
        <v>515</v>
      </c>
      <c r="B4" s="29" t="s">
        <v>73</v>
      </c>
      <c r="C4" s="37">
        <v>91.0</v>
      </c>
      <c r="D4" s="44">
        <v>190.0</v>
      </c>
      <c r="E4" s="39">
        <f t="shared" si="1"/>
        <v>5.13</v>
      </c>
      <c r="F4" s="37">
        <v>60.0</v>
      </c>
      <c r="G4" s="45">
        <v>27.0</v>
      </c>
      <c r="H4" s="37">
        <v>110.0</v>
      </c>
      <c r="I4" s="46">
        <v>2.2</v>
      </c>
      <c r="J4" s="42">
        <f t="shared" si="2"/>
        <v>2.087912088</v>
      </c>
      <c r="K4" s="43">
        <f t="shared" si="3"/>
        <v>2457</v>
      </c>
    </row>
    <row r="5">
      <c r="A5" s="29" t="s">
        <v>516</v>
      </c>
      <c r="B5" s="29" t="s">
        <v>64</v>
      </c>
      <c r="C5" s="37">
        <v>116.0</v>
      </c>
      <c r="D5" s="47">
        <v>250.0</v>
      </c>
      <c r="E5" s="39">
        <f t="shared" si="1"/>
        <v>6.25</v>
      </c>
      <c r="F5" s="37">
        <v>62.0</v>
      </c>
      <c r="G5" s="40">
        <v>25.0</v>
      </c>
      <c r="H5" s="37">
        <v>147.0</v>
      </c>
      <c r="I5" s="48">
        <v>3.0</v>
      </c>
      <c r="J5" s="42">
        <f t="shared" si="2"/>
        <v>2.155172414</v>
      </c>
      <c r="K5" s="43">
        <f t="shared" si="3"/>
        <v>2900</v>
      </c>
    </row>
    <row r="6">
      <c r="A6" s="29" t="s">
        <v>517</v>
      </c>
      <c r="B6" s="29" t="s">
        <v>60</v>
      </c>
      <c r="C6" s="37">
        <v>105.0</v>
      </c>
      <c r="D6" s="49">
        <v>208.0</v>
      </c>
      <c r="E6" s="39">
        <f t="shared" si="1"/>
        <v>5.616</v>
      </c>
      <c r="F6" s="37">
        <v>60.0</v>
      </c>
      <c r="G6" s="45">
        <v>27.0</v>
      </c>
      <c r="H6" s="37">
        <v>140.0</v>
      </c>
      <c r="I6" s="50">
        <v>2.8</v>
      </c>
      <c r="J6" s="42">
        <f t="shared" si="2"/>
        <v>1.980952381</v>
      </c>
      <c r="K6" s="43">
        <f t="shared" si="3"/>
        <v>2835</v>
      </c>
    </row>
    <row r="7">
      <c r="A7" s="29" t="s">
        <v>518</v>
      </c>
      <c r="B7" s="29" t="s">
        <v>56</v>
      </c>
      <c r="C7" s="37">
        <v>91.0</v>
      </c>
      <c r="D7" s="51">
        <v>290.0</v>
      </c>
      <c r="E7" s="39">
        <f t="shared" si="1"/>
        <v>4.64</v>
      </c>
      <c r="F7" s="37">
        <v>56.0</v>
      </c>
      <c r="G7" s="52">
        <v>16.0</v>
      </c>
      <c r="H7" s="37">
        <v>122.4</v>
      </c>
      <c r="I7" s="53">
        <v>3.6</v>
      </c>
      <c r="J7" s="42">
        <f t="shared" si="2"/>
        <v>3.186813187</v>
      </c>
      <c r="K7" s="43">
        <f t="shared" si="3"/>
        <v>1456</v>
      </c>
    </row>
    <row r="8">
      <c r="A8" s="29" t="s">
        <v>519</v>
      </c>
      <c r="B8" s="29" t="s">
        <v>91</v>
      </c>
      <c r="C8" s="37">
        <v>91.0</v>
      </c>
      <c r="D8" s="52">
        <v>125.0</v>
      </c>
      <c r="E8" s="39">
        <f t="shared" si="1"/>
        <v>5</v>
      </c>
      <c r="F8" s="37">
        <v>70.0</v>
      </c>
      <c r="G8" s="51">
        <v>40.0</v>
      </c>
      <c r="H8" s="37">
        <v>104.0</v>
      </c>
      <c r="I8" s="41">
        <v>2.0</v>
      </c>
      <c r="J8" s="42">
        <f t="shared" si="2"/>
        <v>1.373626374</v>
      </c>
      <c r="K8" s="43">
        <f t="shared" si="3"/>
        <v>3640</v>
      </c>
    </row>
    <row r="9">
      <c r="A9" s="29" t="s">
        <v>520</v>
      </c>
      <c r="B9" s="29" t="s">
        <v>49</v>
      </c>
      <c r="C9" s="37">
        <v>115.0</v>
      </c>
      <c r="D9" s="45">
        <v>206.0</v>
      </c>
      <c r="E9" s="39">
        <f t="shared" si="1"/>
        <v>6.386</v>
      </c>
      <c r="F9" s="37">
        <v>56.0</v>
      </c>
      <c r="G9" s="54">
        <v>31.0</v>
      </c>
      <c r="H9" s="37">
        <v>78.0</v>
      </c>
      <c r="I9" s="55">
        <v>2.6</v>
      </c>
      <c r="J9" s="42">
        <f t="shared" si="2"/>
        <v>1.791304348</v>
      </c>
      <c r="K9" s="43">
        <f t="shared" si="3"/>
        <v>3565</v>
      </c>
    </row>
    <row r="10">
      <c r="A10" s="29" t="s">
        <v>521</v>
      </c>
      <c r="B10" s="29" t="s">
        <v>70</v>
      </c>
      <c r="C10" s="37">
        <v>37.0</v>
      </c>
      <c r="D10" s="52">
        <v>40.0</v>
      </c>
      <c r="E10" s="39">
        <f t="shared" si="1"/>
        <v>2.52</v>
      </c>
      <c r="F10" s="37">
        <v>24.0</v>
      </c>
      <c r="G10" s="51">
        <v>63.0</v>
      </c>
      <c r="H10" s="37">
        <v>46.8</v>
      </c>
      <c r="I10" s="41">
        <v>1.8</v>
      </c>
      <c r="J10" s="56">
        <f t="shared" si="2"/>
        <v>1.081081081</v>
      </c>
      <c r="K10" s="43">
        <f t="shared" si="3"/>
        <v>2331</v>
      </c>
    </row>
    <row r="11">
      <c r="A11" s="29" t="s">
        <v>522</v>
      </c>
      <c r="B11" s="33"/>
      <c r="C11" s="34"/>
      <c r="D11" s="34"/>
      <c r="E11" s="32" t="s">
        <v>513</v>
      </c>
      <c r="F11" s="34"/>
      <c r="G11" s="34"/>
      <c r="H11" s="34"/>
      <c r="I11" s="35"/>
      <c r="J11" s="36"/>
      <c r="K11" s="34"/>
    </row>
    <row r="12">
      <c r="A12" s="29" t="s">
        <v>523</v>
      </c>
      <c r="B12" s="29" t="s">
        <v>73</v>
      </c>
      <c r="C12" s="37">
        <v>33.0</v>
      </c>
      <c r="D12" s="51">
        <v>220.0</v>
      </c>
      <c r="E12" s="57">
        <v>3.43</v>
      </c>
      <c r="F12" s="37">
        <v>17.0</v>
      </c>
      <c r="G12" s="58">
        <v>16.0</v>
      </c>
      <c r="H12" s="37">
        <v>61.1</v>
      </c>
      <c r="I12" s="59">
        <v>1.3</v>
      </c>
      <c r="J12" s="56">
        <f t="shared" ref="J12:J18" si="4">D12/C12</f>
        <v>6.666666667</v>
      </c>
      <c r="K12" s="60">
        <f t="shared" ref="K12:K18" si="5">G12*C12</f>
        <v>528</v>
      </c>
    </row>
    <row r="13">
      <c r="A13" s="29" t="s">
        <v>524</v>
      </c>
      <c r="B13" s="29" t="s">
        <v>64</v>
      </c>
      <c r="C13" s="37">
        <v>31.0</v>
      </c>
      <c r="D13" s="61">
        <v>188.0</v>
      </c>
      <c r="E13" s="62">
        <v>3.16</v>
      </c>
      <c r="F13" s="37">
        <v>24.0</v>
      </c>
      <c r="G13" s="63">
        <v>17.0</v>
      </c>
      <c r="H13" s="37">
        <v>63.3</v>
      </c>
      <c r="I13" s="64">
        <v>1.2</v>
      </c>
      <c r="J13" s="56">
        <f t="shared" si="4"/>
        <v>6.064516129</v>
      </c>
      <c r="K13" s="60">
        <f t="shared" si="5"/>
        <v>527</v>
      </c>
    </row>
    <row r="14">
      <c r="A14" s="29" t="s">
        <v>525</v>
      </c>
      <c r="B14" s="29" t="s">
        <v>60</v>
      </c>
      <c r="C14" s="37">
        <v>36.0</v>
      </c>
      <c r="D14" s="65">
        <v>116.0</v>
      </c>
      <c r="E14" s="66">
        <v>3.48</v>
      </c>
      <c r="F14" s="37">
        <v>19.0</v>
      </c>
      <c r="G14" s="67">
        <v>30.0</v>
      </c>
      <c r="H14" s="37">
        <v>81.6</v>
      </c>
      <c r="I14" s="68">
        <v>1.6</v>
      </c>
      <c r="J14" s="56">
        <f t="shared" si="4"/>
        <v>3.222222222</v>
      </c>
      <c r="K14" s="60">
        <f t="shared" si="5"/>
        <v>1080</v>
      </c>
    </row>
    <row r="15">
      <c r="A15" s="29" t="s">
        <v>526</v>
      </c>
      <c r="B15" s="29" t="s">
        <v>56</v>
      </c>
      <c r="C15" s="37">
        <v>31.0</v>
      </c>
      <c r="D15" s="69">
        <v>200.0</v>
      </c>
      <c r="E15" s="70">
        <v>3.0</v>
      </c>
      <c r="F15" s="37">
        <v>17.0</v>
      </c>
      <c r="G15" s="52">
        <v>15.0</v>
      </c>
      <c r="H15" s="37">
        <v>64.8</v>
      </c>
      <c r="I15" s="64">
        <v>1.2</v>
      </c>
      <c r="J15" s="56">
        <f t="shared" si="4"/>
        <v>6.451612903</v>
      </c>
      <c r="K15" s="60">
        <f t="shared" si="5"/>
        <v>465</v>
      </c>
    </row>
    <row r="16">
      <c r="A16" s="29" t="s">
        <v>527</v>
      </c>
      <c r="B16" s="29" t="s">
        <v>91</v>
      </c>
      <c r="C16" s="37">
        <v>38.0</v>
      </c>
      <c r="D16" s="71">
        <v>210.0</v>
      </c>
      <c r="E16" s="56">
        <v>4.16</v>
      </c>
      <c r="F16" s="37">
        <v>19.0</v>
      </c>
      <c r="G16" s="72">
        <v>20.0</v>
      </c>
      <c r="H16" s="37">
        <v>63.0</v>
      </c>
      <c r="I16" s="73">
        <v>1.5</v>
      </c>
      <c r="J16" s="56">
        <f t="shared" si="4"/>
        <v>5.526315789</v>
      </c>
      <c r="K16" s="60">
        <f t="shared" si="5"/>
        <v>760</v>
      </c>
    </row>
    <row r="17">
      <c r="A17" s="29" t="s">
        <v>381</v>
      </c>
      <c r="B17" s="29" t="s">
        <v>49</v>
      </c>
      <c r="C17" s="37">
        <v>33.0</v>
      </c>
      <c r="D17" s="74">
        <v>126.0</v>
      </c>
      <c r="E17" s="75">
        <v>3.25</v>
      </c>
      <c r="F17" s="37">
        <v>21.0</v>
      </c>
      <c r="G17" s="76">
        <v>26.0</v>
      </c>
      <c r="H17" s="37">
        <v>64.4</v>
      </c>
      <c r="I17" s="77">
        <v>1.4</v>
      </c>
      <c r="J17" s="56">
        <f t="shared" si="4"/>
        <v>3.818181818</v>
      </c>
      <c r="K17" s="60">
        <f t="shared" si="5"/>
        <v>858</v>
      </c>
    </row>
    <row r="18">
      <c r="A18" s="29" t="s">
        <v>528</v>
      </c>
      <c r="B18" s="29" t="s">
        <v>92</v>
      </c>
      <c r="C18" s="37">
        <v>35.0</v>
      </c>
      <c r="D18" s="78">
        <v>144.0</v>
      </c>
      <c r="E18" s="79">
        <v>3.23</v>
      </c>
      <c r="F18" s="37">
        <v>22.0</v>
      </c>
      <c r="G18" s="80">
        <v>23.0</v>
      </c>
      <c r="H18" s="37">
        <v>89.1</v>
      </c>
      <c r="I18" s="53">
        <v>1.7</v>
      </c>
      <c r="J18" s="56">
        <f t="shared" si="4"/>
        <v>4.114285714</v>
      </c>
      <c r="K18" s="60">
        <f t="shared" si="5"/>
        <v>805</v>
      </c>
    </row>
    <row r="19">
      <c r="A19" s="29" t="s">
        <v>529</v>
      </c>
      <c r="B19" s="33"/>
      <c r="C19" s="34"/>
      <c r="D19" s="34"/>
      <c r="E19" s="32" t="s">
        <v>513</v>
      </c>
      <c r="F19" s="34"/>
      <c r="G19" s="34"/>
      <c r="H19" s="34"/>
      <c r="I19" s="35"/>
      <c r="J19" s="36"/>
      <c r="K19" s="34"/>
    </row>
    <row r="20">
      <c r="A20" s="29" t="s">
        <v>530</v>
      </c>
      <c r="B20" s="29" t="s">
        <v>73</v>
      </c>
      <c r="C20" s="37">
        <v>19.0</v>
      </c>
      <c r="D20" s="45">
        <v>110.0</v>
      </c>
      <c r="E20" s="81">
        <v>1.85</v>
      </c>
      <c r="F20" s="37">
        <v>19.0</v>
      </c>
      <c r="G20" s="45">
        <v>17.0</v>
      </c>
      <c r="H20" s="37">
        <v>30.0</v>
      </c>
      <c r="I20" s="41">
        <v>2.0</v>
      </c>
      <c r="J20" s="82">
        <f t="shared" ref="J20:J26" si="6">D20/C20</f>
        <v>5.789473684</v>
      </c>
      <c r="K20" s="45">
        <f t="shared" ref="K20:K26" si="7">G20*C20</f>
        <v>323</v>
      </c>
    </row>
    <row r="21">
      <c r="A21" s="29" t="s">
        <v>531</v>
      </c>
      <c r="B21" s="29" t="s">
        <v>64</v>
      </c>
      <c r="C21" s="37">
        <v>22.0</v>
      </c>
      <c r="D21" s="52">
        <v>86.0</v>
      </c>
      <c r="E21" s="83">
        <v>2.22</v>
      </c>
      <c r="F21" s="37">
        <v>20.0</v>
      </c>
      <c r="G21" s="84">
        <v>26.0</v>
      </c>
      <c r="H21" s="37">
        <v>34.8</v>
      </c>
      <c r="I21" s="85">
        <v>2.9</v>
      </c>
      <c r="J21" s="82">
        <f t="shared" si="6"/>
        <v>3.909090909</v>
      </c>
      <c r="K21" s="45">
        <f t="shared" si="7"/>
        <v>572</v>
      </c>
    </row>
    <row r="22">
      <c r="A22" s="29" t="s">
        <v>532</v>
      </c>
      <c r="B22" s="29" t="s">
        <v>60</v>
      </c>
      <c r="C22" s="37">
        <v>24.0</v>
      </c>
      <c r="D22" s="86">
        <v>114.0</v>
      </c>
      <c r="E22" s="87">
        <v>2.4</v>
      </c>
      <c r="F22" s="37">
        <v>21.0</v>
      </c>
      <c r="G22" s="52">
        <v>10.5</v>
      </c>
      <c r="H22" s="37">
        <v>33.8</v>
      </c>
      <c r="I22" s="55">
        <v>2.6</v>
      </c>
      <c r="J22" s="82">
        <f t="shared" si="6"/>
        <v>4.75</v>
      </c>
      <c r="K22" s="45">
        <f t="shared" si="7"/>
        <v>252</v>
      </c>
    </row>
    <row r="23">
      <c r="A23" s="29" t="s">
        <v>533</v>
      </c>
      <c r="B23" s="29" t="s">
        <v>56</v>
      </c>
      <c r="C23" s="37">
        <v>18.0</v>
      </c>
      <c r="D23" s="88">
        <v>125.0</v>
      </c>
      <c r="E23" s="39">
        <v>1.5</v>
      </c>
      <c r="F23" s="37">
        <v>19.0</v>
      </c>
      <c r="G23" s="89">
        <v>12.0</v>
      </c>
      <c r="H23" s="37">
        <v>31.5</v>
      </c>
      <c r="I23" s="90">
        <v>2.1</v>
      </c>
      <c r="J23" s="82">
        <f t="shared" si="6"/>
        <v>6.944444444</v>
      </c>
      <c r="K23" s="45">
        <f t="shared" si="7"/>
        <v>216</v>
      </c>
    </row>
    <row r="24">
      <c r="A24" s="29" t="s">
        <v>534</v>
      </c>
      <c r="B24" s="29" t="s">
        <v>91</v>
      </c>
      <c r="C24" s="37">
        <v>22.0</v>
      </c>
      <c r="D24" s="51">
        <v>200.0</v>
      </c>
      <c r="E24" s="91">
        <v>2.16</v>
      </c>
      <c r="F24" s="37">
        <v>17.0</v>
      </c>
      <c r="G24" s="92">
        <v>11.0</v>
      </c>
      <c r="H24" s="37">
        <v>39.2</v>
      </c>
      <c r="I24" s="93">
        <v>2.8</v>
      </c>
      <c r="J24" s="82">
        <f t="shared" si="6"/>
        <v>9.090909091</v>
      </c>
      <c r="K24" s="45">
        <f t="shared" si="7"/>
        <v>242</v>
      </c>
    </row>
    <row r="25">
      <c r="A25" s="29" t="s">
        <v>535</v>
      </c>
      <c r="B25" s="29" t="s">
        <v>49</v>
      </c>
      <c r="C25" s="37">
        <v>25.0</v>
      </c>
      <c r="D25" s="74">
        <v>104.0</v>
      </c>
      <c r="E25" s="94">
        <v>2.81</v>
      </c>
      <c r="F25" s="37">
        <v>20.0</v>
      </c>
      <c r="G25" s="95">
        <v>27.0</v>
      </c>
      <c r="H25" s="37">
        <v>33.0</v>
      </c>
      <c r="I25" s="53">
        <v>3.0</v>
      </c>
      <c r="J25" s="82">
        <f t="shared" si="6"/>
        <v>4.16</v>
      </c>
      <c r="K25" s="45">
        <f t="shared" si="7"/>
        <v>675</v>
      </c>
    </row>
    <row r="26">
      <c r="A26" s="29" t="s">
        <v>536</v>
      </c>
      <c r="B26" s="29" t="s">
        <v>92</v>
      </c>
      <c r="C26" s="37">
        <v>26.0</v>
      </c>
      <c r="D26" s="96">
        <v>98.0</v>
      </c>
      <c r="E26" s="56">
        <v>2.94</v>
      </c>
      <c r="F26" s="37">
        <v>21.0</v>
      </c>
      <c r="G26" s="51">
        <v>30.0</v>
      </c>
      <c r="H26" s="37">
        <v>30.0</v>
      </c>
      <c r="I26" s="41">
        <v>2.0</v>
      </c>
      <c r="J26" s="82">
        <f t="shared" si="6"/>
        <v>3.769230769</v>
      </c>
      <c r="K26" s="45">
        <f t="shared" si="7"/>
        <v>780</v>
      </c>
    </row>
    <row r="27">
      <c r="A27" s="29" t="s">
        <v>537</v>
      </c>
      <c r="B27" s="33"/>
      <c r="C27" s="34"/>
      <c r="D27" s="34"/>
      <c r="E27" s="32" t="s">
        <v>538</v>
      </c>
      <c r="F27" s="34"/>
      <c r="G27" s="34"/>
      <c r="H27" s="34"/>
      <c r="I27" s="35"/>
      <c r="J27" s="36"/>
      <c r="K27" s="34"/>
    </row>
    <row r="28">
      <c r="A28" s="29" t="s">
        <v>234</v>
      </c>
      <c r="B28" s="29" t="s">
        <v>73</v>
      </c>
      <c r="C28" s="37">
        <v>6.0</v>
      </c>
      <c r="D28" s="97">
        <v>63.0</v>
      </c>
      <c r="E28" s="52">
        <v>529.2</v>
      </c>
      <c r="F28" s="37">
        <v>9.0</v>
      </c>
      <c r="G28" s="45">
        <v>9.0</v>
      </c>
      <c r="H28" s="37">
        <v>60.0</v>
      </c>
      <c r="I28" s="55">
        <v>1.2</v>
      </c>
      <c r="J28" s="98">
        <f t="shared" ref="J28:J34" si="8">D28/C28</f>
        <v>10.5</v>
      </c>
      <c r="K28" s="51">
        <f t="shared" ref="K28:K34" si="9">G28*C28</f>
        <v>54</v>
      </c>
    </row>
    <row r="29">
      <c r="A29" s="29" t="s">
        <v>539</v>
      </c>
      <c r="B29" s="29" t="s">
        <v>64</v>
      </c>
      <c r="C29" s="37">
        <v>8.0</v>
      </c>
      <c r="D29" s="89">
        <v>50.0</v>
      </c>
      <c r="E29" s="99">
        <v>750.0</v>
      </c>
      <c r="F29" s="37">
        <v>15.0</v>
      </c>
      <c r="G29" s="52">
        <v>8.0</v>
      </c>
      <c r="H29" s="37">
        <v>53.2</v>
      </c>
      <c r="I29" s="53">
        <v>1.4</v>
      </c>
      <c r="J29" s="98">
        <f t="shared" si="8"/>
        <v>6.25</v>
      </c>
      <c r="K29" s="51">
        <f t="shared" si="9"/>
        <v>64</v>
      </c>
    </row>
    <row r="30">
      <c r="A30" s="29" t="s">
        <v>540</v>
      </c>
      <c r="B30" s="29" t="s">
        <v>60</v>
      </c>
      <c r="C30" s="37">
        <v>5.0</v>
      </c>
      <c r="D30" s="51">
        <v>72.0</v>
      </c>
      <c r="E30" s="100">
        <v>561.6</v>
      </c>
      <c r="F30" s="37">
        <v>8.0</v>
      </c>
      <c r="G30" s="51">
        <v>11.0</v>
      </c>
      <c r="H30" s="37">
        <v>44.4</v>
      </c>
      <c r="I30" s="55">
        <v>1.2</v>
      </c>
      <c r="J30" s="98">
        <f t="shared" si="8"/>
        <v>14.4</v>
      </c>
      <c r="K30" s="51">
        <f t="shared" si="9"/>
        <v>55</v>
      </c>
    </row>
    <row r="31">
      <c r="A31" s="29" t="s">
        <v>541</v>
      </c>
      <c r="B31" s="29" t="s">
        <v>56</v>
      </c>
      <c r="C31" s="37">
        <v>6.0</v>
      </c>
      <c r="D31" s="88">
        <v>62.0</v>
      </c>
      <c r="E31" s="101">
        <v>595.0</v>
      </c>
      <c r="F31" s="37">
        <v>10.0</v>
      </c>
      <c r="G31" s="102">
        <v>10.0</v>
      </c>
      <c r="H31" s="37">
        <v>47.3</v>
      </c>
      <c r="I31" s="103">
        <v>1.1</v>
      </c>
      <c r="J31" s="98">
        <f t="shared" si="8"/>
        <v>10.33333333</v>
      </c>
      <c r="K31" s="51">
        <f t="shared" si="9"/>
        <v>60</v>
      </c>
    </row>
    <row r="32">
      <c r="A32" s="29" t="s">
        <v>542</v>
      </c>
      <c r="B32" s="29" t="s">
        <v>91</v>
      </c>
      <c r="C32" s="37">
        <v>8.0</v>
      </c>
      <c r="D32" s="104">
        <v>59.0</v>
      </c>
      <c r="E32" s="51">
        <v>814.0</v>
      </c>
      <c r="F32" s="37">
        <v>14.0</v>
      </c>
      <c r="G32" s="102">
        <v>10.0</v>
      </c>
      <c r="H32" s="37">
        <v>58.8</v>
      </c>
      <c r="I32" s="53">
        <v>1.4</v>
      </c>
      <c r="J32" s="98">
        <f t="shared" si="8"/>
        <v>7.375</v>
      </c>
      <c r="K32" s="51">
        <f t="shared" si="9"/>
        <v>80</v>
      </c>
    </row>
    <row r="33">
      <c r="A33" s="29" t="s">
        <v>543</v>
      </c>
      <c r="B33" s="29" t="s">
        <v>49</v>
      </c>
      <c r="C33" s="37">
        <v>7.0</v>
      </c>
      <c r="D33" s="52">
        <v>47.0</v>
      </c>
      <c r="E33" s="45">
        <v>705.0</v>
      </c>
      <c r="F33" s="37">
        <v>15.0</v>
      </c>
      <c r="G33" s="52">
        <v>8.0</v>
      </c>
      <c r="H33" s="37">
        <v>40.0</v>
      </c>
      <c r="I33" s="41">
        <v>1.0</v>
      </c>
      <c r="J33" s="98">
        <f t="shared" si="8"/>
        <v>6.714285714</v>
      </c>
      <c r="K33" s="51">
        <f t="shared" si="9"/>
        <v>56</v>
      </c>
    </row>
    <row r="34">
      <c r="A34" s="29" t="s">
        <v>544</v>
      </c>
      <c r="B34" s="29" t="s">
        <v>92</v>
      </c>
      <c r="C34" s="37">
        <v>7.0</v>
      </c>
      <c r="D34" s="45">
        <v>60.0</v>
      </c>
      <c r="E34" s="105">
        <v>756.0</v>
      </c>
      <c r="F34" s="37">
        <v>13.0</v>
      </c>
      <c r="G34" s="45">
        <v>9.0</v>
      </c>
      <c r="H34" s="37">
        <v>44.4</v>
      </c>
      <c r="I34" s="55">
        <v>1.2</v>
      </c>
      <c r="J34" s="98">
        <f t="shared" si="8"/>
        <v>8.571428571</v>
      </c>
      <c r="K34" s="51">
        <f t="shared" si="9"/>
        <v>63</v>
      </c>
    </row>
    <row r="35">
      <c r="C35" s="28"/>
      <c r="D35" s="28"/>
      <c r="F35" s="28"/>
      <c r="G35" s="28"/>
      <c r="H35" s="28"/>
      <c r="I35" s="106"/>
      <c r="J35" s="107"/>
      <c r="K35" s="28"/>
    </row>
    <row r="36">
      <c r="C36" s="28"/>
      <c r="D36" s="28"/>
      <c r="F36" s="28"/>
      <c r="G36" s="28"/>
      <c r="H36" s="28"/>
      <c r="I36" s="106"/>
      <c r="J36" s="107"/>
      <c r="K36" s="28"/>
    </row>
    <row r="37">
      <c r="C37" s="28"/>
      <c r="D37" s="28"/>
      <c r="F37" s="28"/>
      <c r="G37" s="28"/>
      <c r="H37" s="28"/>
      <c r="I37" s="106"/>
      <c r="J37" s="107"/>
      <c r="K37" s="28"/>
    </row>
    <row r="38">
      <c r="C38" s="28"/>
      <c r="D38" s="28"/>
      <c r="F38" s="28"/>
      <c r="G38" s="28"/>
      <c r="H38" s="28"/>
      <c r="I38" s="106"/>
      <c r="J38" s="107"/>
      <c r="K38" s="28"/>
    </row>
    <row r="39">
      <c r="C39" s="28"/>
      <c r="D39" s="28"/>
      <c r="F39" s="28"/>
      <c r="G39" s="28"/>
      <c r="H39" s="28"/>
      <c r="I39" s="106"/>
      <c r="J39" s="107"/>
      <c r="K39" s="28"/>
    </row>
    <row r="40">
      <c r="C40" s="28"/>
      <c r="D40" s="28"/>
      <c r="F40" s="28"/>
      <c r="G40" s="28"/>
      <c r="H40" s="28"/>
      <c r="I40" s="106"/>
      <c r="J40" s="107"/>
      <c r="K40" s="28"/>
    </row>
    <row r="41">
      <c r="C41" s="28"/>
      <c r="D41" s="28"/>
      <c r="F41" s="28"/>
      <c r="G41" s="28"/>
      <c r="H41" s="28"/>
      <c r="I41" s="106"/>
      <c r="J41" s="107"/>
      <c r="K41" s="28"/>
    </row>
    <row r="42">
      <c r="C42" s="28"/>
      <c r="D42" s="28"/>
      <c r="F42" s="28"/>
      <c r="G42" s="28"/>
      <c r="H42" s="28"/>
      <c r="I42" s="106"/>
      <c r="J42" s="107"/>
      <c r="K42" s="28"/>
    </row>
    <row r="43">
      <c r="C43" s="28"/>
      <c r="D43" s="28"/>
      <c r="F43" s="28"/>
      <c r="G43" s="28"/>
      <c r="H43" s="28"/>
      <c r="I43" s="106"/>
      <c r="J43" s="107"/>
      <c r="K43" s="28"/>
    </row>
    <row r="44">
      <c r="C44" s="28"/>
      <c r="D44" s="28"/>
      <c r="F44" s="28"/>
      <c r="G44" s="28"/>
      <c r="H44" s="28"/>
      <c r="I44" s="106"/>
      <c r="J44" s="107"/>
      <c r="K44" s="28"/>
    </row>
    <row r="45">
      <c r="C45" s="28"/>
      <c r="D45" s="28"/>
      <c r="F45" s="28"/>
      <c r="G45" s="28"/>
      <c r="H45" s="28"/>
      <c r="I45" s="106"/>
      <c r="J45" s="107"/>
      <c r="K45" s="28"/>
    </row>
    <row r="46">
      <c r="C46" s="28"/>
      <c r="D46" s="28"/>
      <c r="F46" s="28"/>
      <c r="G46" s="28"/>
      <c r="H46" s="28"/>
      <c r="I46" s="106"/>
      <c r="J46" s="107"/>
      <c r="K46" s="28"/>
    </row>
    <row r="47">
      <c r="C47" s="28"/>
      <c r="D47" s="28"/>
      <c r="F47" s="28"/>
      <c r="G47" s="28"/>
      <c r="H47" s="28"/>
      <c r="I47" s="106"/>
      <c r="J47" s="107"/>
      <c r="K47" s="28"/>
    </row>
    <row r="48">
      <c r="C48" s="28"/>
      <c r="D48" s="28"/>
      <c r="F48" s="28"/>
      <c r="G48" s="28"/>
      <c r="H48" s="28"/>
      <c r="I48" s="106"/>
      <c r="J48" s="107"/>
      <c r="K48" s="28"/>
    </row>
    <row r="49">
      <c r="C49" s="28"/>
      <c r="D49" s="28"/>
      <c r="F49" s="28"/>
      <c r="G49" s="28"/>
      <c r="H49" s="28"/>
      <c r="I49" s="106"/>
      <c r="J49" s="107"/>
      <c r="K49" s="28"/>
    </row>
    <row r="50">
      <c r="C50" s="28"/>
      <c r="D50" s="28"/>
      <c r="F50" s="28"/>
      <c r="G50" s="28"/>
      <c r="H50" s="28"/>
      <c r="I50" s="106"/>
      <c r="J50" s="107"/>
      <c r="K50" s="28"/>
    </row>
    <row r="51">
      <c r="C51" s="28"/>
      <c r="D51" s="28"/>
      <c r="F51" s="28"/>
      <c r="G51" s="28"/>
      <c r="H51" s="28"/>
      <c r="I51" s="106"/>
      <c r="J51" s="107"/>
      <c r="K51" s="28"/>
    </row>
    <row r="52">
      <c r="C52" s="28"/>
      <c r="D52" s="28"/>
      <c r="F52" s="28"/>
      <c r="G52" s="28"/>
      <c r="H52" s="28"/>
      <c r="I52" s="106"/>
      <c r="J52" s="107"/>
      <c r="K52" s="28"/>
    </row>
    <row r="53">
      <c r="C53" s="28"/>
      <c r="D53" s="28"/>
      <c r="F53" s="28"/>
      <c r="G53" s="28"/>
      <c r="H53" s="28"/>
      <c r="I53" s="106"/>
      <c r="J53" s="107"/>
      <c r="K53" s="28"/>
    </row>
    <row r="54">
      <c r="C54" s="28"/>
      <c r="D54" s="28"/>
      <c r="F54" s="28"/>
      <c r="G54" s="28"/>
      <c r="H54" s="28"/>
      <c r="I54" s="106"/>
      <c r="J54" s="107"/>
      <c r="K54" s="28"/>
    </row>
    <row r="55">
      <c r="C55" s="28"/>
      <c r="D55" s="28"/>
      <c r="F55" s="28"/>
      <c r="G55" s="28"/>
      <c r="H55" s="28"/>
      <c r="I55" s="106"/>
      <c r="J55" s="107"/>
      <c r="K55" s="28"/>
    </row>
    <row r="56">
      <c r="C56" s="28"/>
      <c r="D56" s="28"/>
      <c r="F56" s="28"/>
      <c r="G56" s="28"/>
      <c r="H56" s="28"/>
      <c r="I56" s="106"/>
      <c r="J56" s="107"/>
      <c r="K56" s="28"/>
    </row>
    <row r="57">
      <c r="C57" s="28"/>
      <c r="D57" s="28"/>
      <c r="F57" s="28"/>
      <c r="G57" s="28"/>
      <c r="H57" s="28"/>
      <c r="I57" s="106"/>
      <c r="J57" s="107"/>
      <c r="K57" s="28"/>
    </row>
    <row r="58">
      <c r="C58" s="28"/>
      <c r="D58" s="28"/>
      <c r="F58" s="28"/>
      <c r="G58" s="28"/>
      <c r="H58" s="28"/>
      <c r="I58" s="106"/>
      <c r="J58" s="107"/>
      <c r="K58" s="28"/>
    </row>
    <row r="59">
      <c r="C59" s="28"/>
      <c r="D59" s="28"/>
      <c r="F59" s="28"/>
      <c r="G59" s="28"/>
      <c r="H59" s="28"/>
      <c r="I59" s="106"/>
      <c r="J59" s="107"/>
      <c r="K59" s="28"/>
    </row>
    <row r="60">
      <c r="C60" s="28"/>
      <c r="D60" s="28"/>
      <c r="F60" s="28"/>
      <c r="G60" s="28"/>
      <c r="H60" s="28"/>
      <c r="I60" s="106"/>
      <c r="J60" s="107"/>
      <c r="K60" s="28"/>
    </row>
    <row r="61">
      <c r="C61" s="28"/>
      <c r="D61" s="28"/>
      <c r="F61" s="28"/>
      <c r="G61" s="28"/>
      <c r="H61" s="28"/>
      <c r="I61" s="106"/>
      <c r="J61" s="107"/>
      <c r="K61" s="28"/>
    </row>
    <row r="62">
      <c r="C62" s="28"/>
      <c r="D62" s="28"/>
      <c r="F62" s="28"/>
      <c r="G62" s="28"/>
      <c r="H62" s="28"/>
      <c r="I62" s="106"/>
      <c r="J62" s="107"/>
      <c r="K62" s="28"/>
    </row>
    <row r="63">
      <c r="C63" s="28"/>
      <c r="D63" s="28"/>
      <c r="F63" s="28"/>
      <c r="G63" s="28"/>
      <c r="H63" s="28"/>
      <c r="I63" s="106"/>
      <c r="J63" s="107"/>
      <c r="K63" s="28"/>
    </row>
    <row r="64">
      <c r="C64" s="28"/>
      <c r="D64" s="28"/>
      <c r="F64" s="28"/>
      <c r="G64" s="28"/>
      <c r="H64" s="28"/>
      <c r="I64" s="106"/>
      <c r="J64" s="107"/>
      <c r="K64" s="28"/>
    </row>
    <row r="65">
      <c r="C65" s="28"/>
      <c r="D65" s="28"/>
      <c r="F65" s="28"/>
      <c r="G65" s="28"/>
      <c r="H65" s="28"/>
      <c r="I65" s="106"/>
      <c r="J65" s="107"/>
      <c r="K65" s="28"/>
    </row>
    <row r="66">
      <c r="C66" s="28"/>
      <c r="D66" s="28"/>
      <c r="F66" s="28"/>
      <c r="G66" s="28"/>
      <c r="H66" s="28"/>
      <c r="I66" s="106"/>
      <c r="J66" s="107"/>
      <c r="K66" s="28"/>
    </row>
    <row r="67">
      <c r="C67" s="28"/>
      <c r="D67" s="28"/>
      <c r="F67" s="28"/>
      <c r="G67" s="28"/>
      <c r="H67" s="28"/>
      <c r="I67" s="106"/>
      <c r="J67" s="107"/>
      <c r="K67" s="28"/>
    </row>
    <row r="68">
      <c r="C68" s="28"/>
      <c r="D68" s="28"/>
      <c r="F68" s="28"/>
      <c r="G68" s="28"/>
      <c r="H68" s="28"/>
      <c r="I68" s="106"/>
      <c r="J68" s="107"/>
      <c r="K68" s="28"/>
    </row>
    <row r="69">
      <c r="C69" s="28"/>
      <c r="D69" s="28"/>
      <c r="F69" s="28"/>
      <c r="G69" s="28"/>
      <c r="H69" s="28"/>
      <c r="I69" s="106"/>
      <c r="J69" s="107"/>
      <c r="K69" s="28"/>
    </row>
    <row r="70">
      <c r="C70" s="28"/>
      <c r="D70" s="28"/>
      <c r="F70" s="28"/>
      <c r="G70" s="28"/>
      <c r="H70" s="28"/>
      <c r="I70" s="106"/>
      <c r="J70" s="107"/>
      <c r="K70" s="28"/>
    </row>
    <row r="71">
      <c r="C71" s="28"/>
      <c r="D71" s="28"/>
      <c r="F71" s="28"/>
      <c r="G71" s="28"/>
      <c r="H71" s="28"/>
      <c r="I71" s="106"/>
      <c r="J71" s="107"/>
      <c r="K71" s="28"/>
    </row>
    <row r="72">
      <c r="C72" s="28"/>
      <c r="D72" s="28"/>
      <c r="F72" s="28"/>
      <c r="G72" s="28"/>
      <c r="H72" s="28"/>
      <c r="I72" s="106"/>
      <c r="J72" s="107"/>
      <c r="K72" s="28"/>
    </row>
    <row r="73">
      <c r="C73" s="28"/>
      <c r="D73" s="28"/>
      <c r="F73" s="28"/>
      <c r="G73" s="28"/>
      <c r="H73" s="28"/>
      <c r="I73" s="106"/>
      <c r="J73" s="107"/>
      <c r="K73" s="28"/>
    </row>
    <row r="74">
      <c r="C74" s="28"/>
      <c r="D74" s="28"/>
      <c r="F74" s="28"/>
      <c r="G74" s="28"/>
      <c r="H74" s="28"/>
      <c r="I74" s="106"/>
      <c r="J74" s="107"/>
      <c r="K74" s="28"/>
    </row>
    <row r="75">
      <c r="C75" s="28"/>
      <c r="D75" s="28"/>
      <c r="F75" s="28"/>
      <c r="G75" s="28"/>
      <c r="H75" s="28"/>
      <c r="I75" s="106"/>
      <c r="J75" s="107"/>
      <c r="K75" s="28"/>
    </row>
    <row r="76">
      <c r="C76" s="28"/>
      <c r="D76" s="28"/>
      <c r="F76" s="28"/>
      <c r="G76" s="28"/>
      <c r="H76" s="28"/>
      <c r="I76" s="106"/>
      <c r="J76" s="107"/>
      <c r="K76" s="28"/>
    </row>
    <row r="77">
      <c r="C77" s="28"/>
      <c r="D77" s="28"/>
      <c r="F77" s="28"/>
      <c r="G77" s="28"/>
      <c r="H77" s="28"/>
      <c r="I77" s="106"/>
      <c r="J77" s="107"/>
      <c r="K77" s="28"/>
    </row>
    <row r="78">
      <c r="C78" s="28"/>
      <c r="D78" s="28"/>
      <c r="F78" s="28"/>
      <c r="G78" s="28"/>
      <c r="H78" s="28"/>
      <c r="I78" s="106"/>
      <c r="J78" s="107"/>
      <c r="K78" s="28"/>
    </row>
    <row r="79">
      <c r="C79" s="28"/>
      <c r="D79" s="28"/>
      <c r="F79" s="28"/>
      <c r="G79" s="28"/>
      <c r="H79" s="28"/>
      <c r="I79" s="106"/>
      <c r="J79" s="107"/>
      <c r="K79" s="28"/>
    </row>
    <row r="80">
      <c r="C80" s="28"/>
      <c r="D80" s="28"/>
      <c r="F80" s="28"/>
      <c r="G80" s="28"/>
      <c r="H80" s="28"/>
      <c r="I80" s="106"/>
      <c r="J80" s="107"/>
      <c r="K80" s="28"/>
    </row>
    <row r="81">
      <c r="C81" s="28"/>
      <c r="D81" s="28"/>
      <c r="F81" s="28"/>
      <c r="G81" s="28"/>
      <c r="H81" s="28"/>
      <c r="I81" s="106"/>
      <c r="J81" s="107"/>
      <c r="K81" s="28"/>
    </row>
    <row r="82">
      <c r="C82" s="28"/>
      <c r="D82" s="28"/>
      <c r="F82" s="28"/>
      <c r="G82" s="28"/>
      <c r="H82" s="28"/>
      <c r="I82" s="106"/>
      <c r="J82" s="107"/>
      <c r="K82" s="28"/>
    </row>
    <row r="83">
      <c r="C83" s="28"/>
      <c r="D83" s="28"/>
      <c r="F83" s="28"/>
      <c r="G83" s="28"/>
      <c r="H83" s="28"/>
      <c r="I83" s="106"/>
      <c r="J83" s="107"/>
      <c r="K83" s="28"/>
    </row>
    <row r="84">
      <c r="C84" s="28"/>
      <c r="D84" s="28"/>
      <c r="F84" s="28"/>
      <c r="G84" s="28"/>
      <c r="H84" s="28"/>
      <c r="I84" s="106"/>
      <c r="J84" s="107"/>
      <c r="K84" s="28"/>
    </row>
    <row r="85">
      <c r="C85" s="28"/>
      <c r="D85" s="28"/>
      <c r="F85" s="28"/>
      <c r="G85" s="28"/>
      <c r="H85" s="28"/>
      <c r="I85" s="106"/>
      <c r="J85" s="107"/>
      <c r="K85" s="28"/>
    </row>
    <row r="86">
      <c r="C86" s="28"/>
      <c r="D86" s="28"/>
      <c r="F86" s="28"/>
      <c r="G86" s="28"/>
      <c r="H86" s="28"/>
      <c r="I86" s="106"/>
      <c r="J86" s="107"/>
      <c r="K86" s="28"/>
    </row>
    <row r="87">
      <c r="C87" s="28"/>
      <c r="D87" s="28"/>
      <c r="F87" s="28"/>
      <c r="G87" s="28"/>
      <c r="H87" s="28"/>
      <c r="I87" s="106"/>
      <c r="J87" s="107"/>
      <c r="K87" s="28"/>
    </row>
    <row r="88">
      <c r="C88" s="28"/>
      <c r="D88" s="28"/>
      <c r="F88" s="28"/>
      <c r="G88" s="28"/>
      <c r="H88" s="28"/>
      <c r="I88" s="106"/>
      <c r="J88" s="107"/>
      <c r="K88" s="28"/>
    </row>
    <row r="89">
      <c r="C89" s="28"/>
      <c r="D89" s="28"/>
      <c r="F89" s="28"/>
      <c r="G89" s="28"/>
      <c r="H89" s="28"/>
      <c r="I89" s="106"/>
      <c r="J89" s="107"/>
      <c r="K89" s="28"/>
    </row>
    <row r="90">
      <c r="C90" s="28"/>
      <c r="D90" s="28"/>
      <c r="F90" s="28"/>
      <c r="G90" s="28"/>
      <c r="H90" s="28"/>
      <c r="I90" s="106"/>
      <c r="J90" s="107"/>
      <c r="K90" s="28"/>
    </row>
    <row r="91">
      <c r="C91" s="28"/>
      <c r="D91" s="28"/>
      <c r="F91" s="28"/>
      <c r="G91" s="28"/>
      <c r="H91" s="28"/>
      <c r="I91" s="106"/>
      <c r="J91" s="107"/>
      <c r="K91" s="28"/>
    </row>
    <row r="92">
      <c r="C92" s="28"/>
      <c r="D92" s="28"/>
      <c r="F92" s="28"/>
      <c r="G92" s="28"/>
      <c r="H92" s="28"/>
      <c r="I92" s="106"/>
      <c r="J92" s="107"/>
      <c r="K92" s="28"/>
    </row>
    <row r="93">
      <c r="C93" s="28"/>
      <c r="D93" s="28"/>
      <c r="F93" s="28"/>
      <c r="G93" s="28"/>
      <c r="H93" s="28"/>
      <c r="I93" s="106"/>
      <c r="J93" s="107"/>
      <c r="K93" s="28"/>
    </row>
    <row r="94">
      <c r="C94" s="28"/>
      <c r="D94" s="28"/>
      <c r="F94" s="28"/>
      <c r="G94" s="28"/>
      <c r="H94" s="28"/>
      <c r="I94" s="106"/>
      <c r="J94" s="107"/>
      <c r="K94" s="28"/>
    </row>
    <row r="95">
      <c r="C95" s="28"/>
      <c r="D95" s="28"/>
      <c r="F95" s="28"/>
      <c r="G95" s="28"/>
      <c r="H95" s="28"/>
      <c r="I95" s="106"/>
      <c r="J95" s="107"/>
      <c r="K95" s="28"/>
    </row>
    <row r="96">
      <c r="C96" s="28"/>
      <c r="D96" s="28"/>
      <c r="F96" s="28"/>
      <c r="G96" s="28"/>
      <c r="H96" s="28"/>
      <c r="I96" s="106"/>
      <c r="J96" s="107"/>
      <c r="K96" s="28"/>
    </row>
    <row r="97">
      <c r="C97" s="28"/>
      <c r="D97" s="28"/>
      <c r="F97" s="28"/>
      <c r="G97" s="28"/>
      <c r="H97" s="28"/>
      <c r="I97" s="106"/>
      <c r="J97" s="107"/>
      <c r="K97" s="28"/>
    </row>
    <row r="98">
      <c r="C98" s="28"/>
      <c r="D98" s="28"/>
      <c r="F98" s="28"/>
      <c r="G98" s="28"/>
      <c r="H98" s="28"/>
      <c r="I98" s="106"/>
      <c r="J98" s="107"/>
      <c r="K98" s="28"/>
    </row>
    <row r="99">
      <c r="C99" s="28"/>
      <c r="D99" s="28"/>
      <c r="F99" s="28"/>
      <c r="G99" s="28"/>
      <c r="H99" s="28"/>
      <c r="I99" s="106"/>
      <c r="J99" s="107"/>
      <c r="K99" s="28"/>
    </row>
    <row r="100">
      <c r="C100" s="28"/>
      <c r="D100" s="28"/>
      <c r="F100" s="28"/>
      <c r="G100" s="28"/>
      <c r="H100" s="28"/>
      <c r="I100" s="106"/>
      <c r="J100" s="107"/>
      <c r="K100" s="28"/>
    </row>
    <row r="101">
      <c r="C101" s="28"/>
      <c r="D101" s="28"/>
      <c r="F101" s="28"/>
      <c r="G101" s="28"/>
      <c r="H101" s="28"/>
      <c r="I101" s="106"/>
      <c r="J101" s="107"/>
      <c r="K101" s="28"/>
    </row>
    <row r="102">
      <c r="C102" s="28"/>
      <c r="D102" s="28"/>
      <c r="F102" s="28"/>
      <c r="G102" s="28"/>
      <c r="H102" s="28"/>
      <c r="I102" s="106"/>
      <c r="J102" s="107"/>
      <c r="K102" s="28"/>
    </row>
    <row r="103">
      <c r="C103" s="28"/>
      <c r="D103" s="28"/>
      <c r="F103" s="28"/>
      <c r="G103" s="28"/>
      <c r="H103" s="28"/>
      <c r="I103" s="106"/>
      <c r="J103" s="107"/>
      <c r="K103" s="28"/>
    </row>
    <row r="104">
      <c r="C104" s="28"/>
      <c r="D104" s="28"/>
      <c r="F104" s="28"/>
      <c r="G104" s="28"/>
      <c r="H104" s="28"/>
      <c r="I104" s="106"/>
      <c r="J104" s="107"/>
      <c r="K104" s="28"/>
    </row>
    <row r="105">
      <c r="C105" s="28"/>
      <c r="D105" s="28"/>
      <c r="F105" s="28"/>
      <c r="G105" s="28"/>
      <c r="H105" s="28"/>
      <c r="I105" s="106"/>
      <c r="J105" s="107"/>
      <c r="K105" s="28"/>
    </row>
    <row r="106">
      <c r="C106" s="28"/>
      <c r="D106" s="28"/>
      <c r="F106" s="28"/>
      <c r="G106" s="28"/>
      <c r="H106" s="28"/>
      <c r="I106" s="106"/>
      <c r="J106" s="107"/>
      <c r="K106" s="28"/>
    </row>
    <row r="107">
      <c r="C107" s="28"/>
      <c r="D107" s="28"/>
      <c r="F107" s="28"/>
      <c r="G107" s="28"/>
      <c r="H107" s="28"/>
      <c r="I107" s="106"/>
      <c r="J107" s="107"/>
      <c r="K107" s="28"/>
    </row>
    <row r="108">
      <c r="C108" s="28"/>
      <c r="D108" s="28"/>
      <c r="F108" s="28"/>
      <c r="G108" s="28"/>
      <c r="H108" s="28"/>
      <c r="I108" s="106"/>
      <c r="J108" s="107"/>
      <c r="K108" s="28"/>
    </row>
    <row r="109">
      <c r="C109" s="28"/>
      <c r="D109" s="28"/>
      <c r="F109" s="28"/>
      <c r="G109" s="28"/>
      <c r="H109" s="28"/>
      <c r="I109" s="106"/>
      <c r="J109" s="107"/>
      <c r="K109" s="28"/>
    </row>
    <row r="110">
      <c r="C110" s="28"/>
      <c r="D110" s="28"/>
      <c r="F110" s="28"/>
      <c r="G110" s="28"/>
      <c r="H110" s="28"/>
      <c r="I110" s="106"/>
      <c r="J110" s="107"/>
      <c r="K110" s="28"/>
    </row>
    <row r="111">
      <c r="C111" s="28"/>
      <c r="D111" s="28"/>
      <c r="F111" s="28"/>
      <c r="G111" s="28"/>
      <c r="H111" s="28"/>
      <c r="I111" s="106"/>
      <c r="J111" s="107"/>
      <c r="K111" s="28"/>
    </row>
    <row r="112">
      <c r="C112" s="28"/>
      <c r="D112" s="28"/>
      <c r="F112" s="28"/>
      <c r="G112" s="28"/>
      <c r="H112" s="28"/>
      <c r="I112" s="106"/>
      <c r="J112" s="107"/>
      <c r="K112" s="28"/>
    </row>
    <row r="113">
      <c r="C113" s="28"/>
      <c r="D113" s="28"/>
      <c r="F113" s="28"/>
      <c r="G113" s="28"/>
      <c r="H113" s="28"/>
      <c r="I113" s="106"/>
      <c r="J113" s="107"/>
      <c r="K113" s="28"/>
    </row>
    <row r="114">
      <c r="C114" s="28"/>
      <c r="D114" s="28"/>
      <c r="F114" s="28"/>
      <c r="G114" s="28"/>
      <c r="H114" s="28"/>
      <c r="I114" s="106"/>
      <c r="J114" s="107"/>
      <c r="K114" s="28"/>
    </row>
    <row r="115">
      <c r="C115" s="28"/>
      <c r="D115" s="28"/>
      <c r="F115" s="28"/>
      <c r="G115" s="28"/>
      <c r="H115" s="28"/>
      <c r="I115" s="106"/>
      <c r="J115" s="107"/>
      <c r="K115" s="28"/>
    </row>
    <row r="116">
      <c r="C116" s="28"/>
      <c r="D116" s="28"/>
      <c r="F116" s="28"/>
      <c r="G116" s="28"/>
      <c r="H116" s="28"/>
      <c r="I116" s="106"/>
      <c r="J116" s="107"/>
      <c r="K116" s="28"/>
    </row>
    <row r="117">
      <c r="C117" s="28"/>
      <c r="D117" s="28"/>
      <c r="F117" s="28"/>
      <c r="G117" s="28"/>
      <c r="H117" s="28"/>
      <c r="I117" s="106"/>
      <c r="J117" s="107"/>
      <c r="K117" s="28"/>
    </row>
    <row r="118">
      <c r="C118" s="28"/>
      <c r="D118" s="28"/>
      <c r="F118" s="28"/>
      <c r="G118" s="28"/>
      <c r="H118" s="28"/>
      <c r="I118" s="106"/>
      <c r="J118" s="107"/>
      <c r="K118" s="28"/>
    </row>
    <row r="119">
      <c r="C119" s="28"/>
      <c r="D119" s="28"/>
      <c r="F119" s="28"/>
      <c r="G119" s="28"/>
      <c r="H119" s="28"/>
      <c r="I119" s="106"/>
      <c r="J119" s="107"/>
      <c r="K119" s="28"/>
    </row>
    <row r="120">
      <c r="C120" s="28"/>
      <c r="D120" s="28"/>
      <c r="F120" s="28"/>
      <c r="G120" s="28"/>
      <c r="H120" s="28"/>
      <c r="I120" s="106"/>
      <c r="J120" s="107"/>
      <c r="K120" s="28"/>
    </row>
    <row r="121">
      <c r="C121" s="28"/>
      <c r="D121" s="28"/>
      <c r="F121" s="28"/>
      <c r="G121" s="28"/>
      <c r="H121" s="28"/>
      <c r="I121" s="106"/>
      <c r="J121" s="107"/>
      <c r="K121" s="28"/>
    </row>
    <row r="122">
      <c r="C122" s="28"/>
      <c r="D122" s="28"/>
      <c r="F122" s="28"/>
      <c r="G122" s="28"/>
      <c r="H122" s="28"/>
      <c r="I122" s="106"/>
      <c r="J122" s="107"/>
      <c r="K122" s="28"/>
    </row>
    <row r="123">
      <c r="C123" s="28"/>
      <c r="D123" s="28"/>
      <c r="F123" s="28"/>
      <c r="G123" s="28"/>
      <c r="H123" s="28"/>
      <c r="I123" s="106"/>
      <c r="J123" s="107"/>
      <c r="K123" s="28"/>
    </row>
    <row r="124">
      <c r="C124" s="28"/>
      <c r="D124" s="28"/>
      <c r="F124" s="28"/>
      <c r="G124" s="28"/>
      <c r="H124" s="28"/>
      <c r="I124" s="106"/>
      <c r="J124" s="107"/>
      <c r="K124" s="28"/>
    </row>
    <row r="125">
      <c r="C125" s="28"/>
      <c r="D125" s="28"/>
      <c r="F125" s="28"/>
      <c r="G125" s="28"/>
      <c r="H125" s="28"/>
      <c r="I125" s="106"/>
      <c r="J125" s="107"/>
      <c r="K125" s="28"/>
    </row>
    <row r="126">
      <c r="C126" s="28"/>
      <c r="D126" s="28"/>
      <c r="F126" s="28"/>
      <c r="G126" s="28"/>
      <c r="H126" s="28"/>
      <c r="I126" s="106"/>
      <c r="J126" s="107"/>
      <c r="K126" s="28"/>
    </row>
    <row r="127">
      <c r="C127" s="28"/>
      <c r="D127" s="28"/>
      <c r="F127" s="28"/>
      <c r="G127" s="28"/>
      <c r="H127" s="28"/>
      <c r="I127" s="106"/>
      <c r="J127" s="107"/>
      <c r="K127" s="28"/>
    </row>
    <row r="128">
      <c r="C128" s="28"/>
      <c r="D128" s="28"/>
      <c r="F128" s="28"/>
      <c r="G128" s="28"/>
      <c r="H128" s="28"/>
      <c r="I128" s="106"/>
      <c r="J128" s="107"/>
      <c r="K128" s="28"/>
    </row>
    <row r="129">
      <c r="C129" s="28"/>
      <c r="D129" s="28"/>
      <c r="F129" s="28"/>
      <c r="G129" s="28"/>
      <c r="H129" s="28"/>
      <c r="I129" s="106"/>
      <c r="J129" s="107"/>
      <c r="K129" s="28"/>
    </row>
    <row r="130">
      <c r="C130" s="28"/>
      <c r="D130" s="28"/>
      <c r="F130" s="28"/>
      <c r="G130" s="28"/>
      <c r="H130" s="28"/>
      <c r="I130" s="106"/>
      <c r="J130" s="107"/>
      <c r="K130" s="28"/>
    </row>
    <row r="131">
      <c r="C131" s="28"/>
      <c r="D131" s="28"/>
      <c r="F131" s="28"/>
      <c r="G131" s="28"/>
      <c r="H131" s="28"/>
      <c r="I131" s="106"/>
      <c r="J131" s="107"/>
      <c r="K131" s="28"/>
    </row>
    <row r="132">
      <c r="C132" s="28"/>
      <c r="D132" s="28"/>
      <c r="F132" s="28"/>
      <c r="G132" s="28"/>
      <c r="H132" s="28"/>
      <c r="I132" s="106"/>
      <c r="J132" s="107"/>
      <c r="K132" s="28"/>
    </row>
    <row r="133">
      <c r="C133" s="28"/>
      <c r="D133" s="28"/>
      <c r="F133" s="28"/>
      <c r="G133" s="28"/>
      <c r="H133" s="28"/>
      <c r="I133" s="106"/>
      <c r="J133" s="107"/>
      <c r="K133" s="28"/>
    </row>
    <row r="134">
      <c r="C134" s="28"/>
      <c r="D134" s="28"/>
      <c r="F134" s="28"/>
      <c r="G134" s="28"/>
      <c r="H134" s="28"/>
      <c r="I134" s="106"/>
      <c r="J134" s="107"/>
      <c r="K134" s="28"/>
    </row>
    <row r="135">
      <c r="C135" s="28"/>
      <c r="D135" s="28"/>
      <c r="F135" s="28"/>
      <c r="G135" s="28"/>
      <c r="H135" s="28"/>
      <c r="I135" s="106"/>
      <c r="J135" s="107"/>
      <c r="K135" s="28"/>
    </row>
    <row r="136">
      <c r="C136" s="28"/>
      <c r="D136" s="28"/>
      <c r="F136" s="28"/>
      <c r="G136" s="28"/>
      <c r="H136" s="28"/>
      <c r="I136" s="106"/>
      <c r="J136" s="107"/>
      <c r="K136" s="28"/>
    </row>
    <row r="137">
      <c r="C137" s="28"/>
      <c r="D137" s="28"/>
      <c r="F137" s="28"/>
      <c r="G137" s="28"/>
      <c r="H137" s="28"/>
      <c r="I137" s="106"/>
      <c r="J137" s="107"/>
      <c r="K137" s="28"/>
    </row>
    <row r="138">
      <c r="C138" s="28"/>
      <c r="D138" s="28"/>
      <c r="F138" s="28"/>
      <c r="G138" s="28"/>
      <c r="H138" s="28"/>
      <c r="I138" s="106"/>
      <c r="J138" s="107"/>
      <c r="K138" s="28"/>
    </row>
    <row r="139">
      <c r="C139" s="28"/>
      <c r="D139" s="28"/>
      <c r="F139" s="28"/>
      <c r="G139" s="28"/>
      <c r="H139" s="28"/>
      <c r="I139" s="106"/>
      <c r="J139" s="107"/>
      <c r="K139" s="28"/>
    </row>
    <row r="140">
      <c r="C140" s="28"/>
      <c r="D140" s="28"/>
      <c r="F140" s="28"/>
      <c r="G140" s="28"/>
      <c r="H140" s="28"/>
      <c r="I140" s="106"/>
      <c r="J140" s="107"/>
      <c r="K140" s="28"/>
    </row>
    <row r="141">
      <c r="C141" s="28"/>
      <c r="D141" s="28"/>
      <c r="F141" s="28"/>
      <c r="G141" s="28"/>
      <c r="H141" s="28"/>
      <c r="I141" s="106"/>
      <c r="J141" s="107"/>
      <c r="K141" s="28"/>
    </row>
    <row r="142">
      <c r="C142" s="28"/>
      <c r="D142" s="28"/>
      <c r="F142" s="28"/>
      <c r="G142" s="28"/>
      <c r="H142" s="28"/>
      <c r="I142" s="106"/>
      <c r="J142" s="107"/>
      <c r="K142" s="28"/>
    </row>
    <row r="143">
      <c r="C143" s="28"/>
      <c r="D143" s="28"/>
      <c r="F143" s="28"/>
      <c r="G143" s="28"/>
      <c r="H143" s="28"/>
      <c r="I143" s="106"/>
      <c r="J143" s="107"/>
      <c r="K143" s="28"/>
    </row>
    <row r="144">
      <c r="C144" s="28"/>
      <c r="D144" s="28"/>
      <c r="F144" s="28"/>
      <c r="G144" s="28"/>
      <c r="H144" s="28"/>
      <c r="I144" s="106"/>
      <c r="J144" s="107"/>
      <c r="K144" s="28"/>
    </row>
    <row r="145">
      <c r="C145" s="28"/>
      <c r="D145" s="28"/>
      <c r="F145" s="28"/>
      <c r="G145" s="28"/>
      <c r="H145" s="28"/>
      <c r="I145" s="106"/>
      <c r="J145" s="107"/>
      <c r="K145" s="28"/>
    </row>
    <row r="146">
      <c r="C146" s="28"/>
      <c r="D146" s="28"/>
      <c r="F146" s="28"/>
      <c r="G146" s="28"/>
      <c r="H146" s="28"/>
      <c r="I146" s="106"/>
      <c r="J146" s="107"/>
      <c r="K146" s="28"/>
    </row>
    <row r="147">
      <c r="C147" s="28"/>
      <c r="D147" s="28"/>
      <c r="F147" s="28"/>
      <c r="G147" s="28"/>
      <c r="H147" s="28"/>
      <c r="I147" s="106"/>
      <c r="J147" s="107"/>
      <c r="K147" s="28"/>
    </row>
    <row r="148">
      <c r="C148" s="28"/>
      <c r="D148" s="28"/>
      <c r="F148" s="28"/>
      <c r="G148" s="28"/>
      <c r="H148" s="28"/>
      <c r="I148" s="106"/>
      <c r="J148" s="107"/>
      <c r="K148" s="28"/>
    </row>
    <row r="149">
      <c r="C149" s="28"/>
      <c r="D149" s="28"/>
      <c r="F149" s="28"/>
      <c r="G149" s="28"/>
      <c r="H149" s="28"/>
      <c r="I149" s="106"/>
      <c r="J149" s="107"/>
      <c r="K149" s="28"/>
    </row>
    <row r="150">
      <c r="C150" s="28"/>
      <c r="D150" s="28"/>
      <c r="F150" s="28"/>
      <c r="G150" s="28"/>
      <c r="H150" s="28"/>
      <c r="I150" s="106"/>
      <c r="J150" s="107"/>
      <c r="K150" s="28"/>
    </row>
    <row r="151">
      <c r="C151" s="28"/>
      <c r="D151" s="28"/>
      <c r="F151" s="28"/>
      <c r="G151" s="28"/>
      <c r="H151" s="28"/>
      <c r="I151" s="106"/>
      <c r="J151" s="107"/>
      <c r="K151" s="28"/>
    </row>
    <row r="152">
      <c r="C152" s="28"/>
      <c r="D152" s="28"/>
      <c r="F152" s="28"/>
      <c r="G152" s="28"/>
      <c r="H152" s="28"/>
      <c r="I152" s="106"/>
      <c r="J152" s="107"/>
      <c r="K152" s="28"/>
    </row>
    <row r="153">
      <c r="C153" s="28"/>
      <c r="D153" s="28"/>
      <c r="F153" s="28"/>
      <c r="G153" s="28"/>
      <c r="H153" s="28"/>
      <c r="I153" s="106"/>
      <c r="J153" s="107"/>
      <c r="K153" s="28"/>
    </row>
    <row r="154">
      <c r="C154" s="28"/>
      <c r="D154" s="28"/>
      <c r="F154" s="28"/>
      <c r="G154" s="28"/>
      <c r="H154" s="28"/>
      <c r="I154" s="106"/>
      <c r="J154" s="107"/>
      <c r="K154" s="28"/>
    </row>
    <row r="155">
      <c r="C155" s="28"/>
      <c r="D155" s="28"/>
      <c r="F155" s="28"/>
      <c r="G155" s="28"/>
      <c r="H155" s="28"/>
      <c r="I155" s="106"/>
      <c r="J155" s="107"/>
      <c r="K155" s="28"/>
    </row>
    <row r="156">
      <c r="C156" s="28"/>
      <c r="D156" s="28"/>
      <c r="F156" s="28"/>
      <c r="G156" s="28"/>
      <c r="H156" s="28"/>
      <c r="I156" s="106"/>
      <c r="J156" s="107"/>
      <c r="K156" s="28"/>
    </row>
    <row r="157">
      <c r="C157" s="28"/>
      <c r="D157" s="28"/>
      <c r="F157" s="28"/>
      <c r="G157" s="28"/>
      <c r="H157" s="28"/>
      <c r="I157" s="106"/>
      <c r="J157" s="107"/>
      <c r="K157" s="28"/>
    </row>
    <row r="158">
      <c r="C158" s="28"/>
      <c r="D158" s="28"/>
      <c r="F158" s="28"/>
      <c r="G158" s="28"/>
      <c r="H158" s="28"/>
      <c r="I158" s="106"/>
      <c r="J158" s="107"/>
      <c r="K158" s="28"/>
    </row>
    <row r="159">
      <c r="C159" s="28"/>
      <c r="D159" s="28"/>
      <c r="F159" s="28"/>
      <c r="G159" s="28"/>
      <c r="H159" s="28"/>
      <c r="I159" s="106"/>
      <c r="J159" s="107"/>
      <c r="K159" s="28"/>
    </row>
    <row r="160">
      <c r="C160" s="28"/>
      <c r="D160" s="28"/>
      <c r="F160" s="28"/>
      <c r="G160" s="28"/>
      <c r="H160" s="28"/>
      <c r="I160" s="106"/>
      <c r="J160" s="107"/>
      <c r="K160" s="28"/>
    </row>
    <row r="161">
      <c r="C161" s="28"/>
      <c r="D161" s="28"/>
      <c r="F161" s="28"/>
      <c r="G161" s="28"/>
      <c r="H161" s="28"/>
      <c r="I161" s="106"/>
      <c r="J161" s="107"/>
      <c r="K161" s="28"/>
    </row>
    <row r="162">
      <c r="C162" s="28"/>
      <c r="D162" s="28"/>
      <c r="F162" s="28"/>
      <c r="G162" s="28"/>
      <c r="H162" s="28"/>
      <c r="I162" s="106"/>
      <c r="J162" s="107"/>
      <c r="K162" s="28"/>
    </row>
    <row r="163">
      <c r="C163" s="28"/>
      <c r="D163" s="28"/>
      <c r="F163" s="28"/>
      <c r="G163" s="28"/>
      <c r="H163" s="28"/>
      <c r="I163" s="106"/>
      <c r="J163" s="107"/>
      <c r="K163" s="28"/>
    </row>
    <row r="164">
      <c r="C164" s="28"/>
      <c r="D164" s="28"/>
      <c r="F164" s="28"/>
      <c r="G164" s="28"/>
      <c r="H164" s="28"/>
      <c r="I164" s="106"/>
      <c r="J164" s="107"/>
      <c r="K164" s="28"/>
    </row>
    <row r="165">
      <c r="C165" s="28"/>
      <c r="D165" s="28"/>
      <c r="F165" s="28"/>
      <c r="G165" s="28"/>
      <c r="H165" s="28"/>
      <c r="I165" s="106"/>
      <c r="J165" s="107"/>
      <c r="K165" s="28"/>
    </row>
    <row r="166">
      <c r="C166" s="28"/>
      <c r="D166" s="28"/>
      <c r="F166" s="28"/>
      <c r="G166" s="28"/>
      <c r="H166" s="28"/>
      <c r="I166" s="106"/>
      <c r="J166" s="107"/>
      <c r="K166" s="28"/>
    </row>
    <row r="167">
      <c r="C167" s="28"/>
      <c r="D167" s="28"/>
      <c r="F167" s="28"/>
      <c r="G167" s="28"/>
      <c r="H167" s="28"/>
      <c r="I167" s="106"/>
      <c r="J167" s="107"/>
      <c r="K167" s="28"/>
    </row>
    <row r="168">
      <c r="C168" s="28"/>
      <c r="D168" s="28"/>
      <c r="F168" s="28"/>
      <c r="G168" s="28"/>
      <c r="H168" s="28"/>
      <c r="I168" s="106"/>
      <c r="J168" s="107"/>
      <c r="K168" s="28"/>
    </row>
    <row r="169">
      <c r="C169" s="28"/>
      <c r="D169" s="28"/>
      <c r="F169" s="28"/>
      <c r="G169" s="28"/>
      <c r="H169" s="28"/>
      <c r="I169" s="106"/>
      <c r="J169" s="107"/>
      <c r="K169" s="28"/>
    </row>
    <row r="170">
      <c r="C170" s="28"/>
      <c r="D170" s="28"/>
      <c r="F170" s="28"/>
      <c r="G170" s="28"/>
      <c r="H170" s="28"/>
      <c r="I170" s="106"/>
      <c r="J170" s="107"/>
      <c r="K170" s="28"/>
    </row>
    <row r="171">
      <c r="C171" s="28"/>
      <c r="D171" s="28"/>
      <c r="F171" s="28"/>
      <c r="G171" s="28"/>
      <c r="H171" s="28"/>
      <c r="I171" s="106"/>
      <c r="J171" s="107"/>
      <c r="K171" s="28"/>
    </row>
    <row r="172">
      <c r="C172" s="28"/>
      <c r="D172" s="28"/>
      <c r="F172" s="28"/>
      <c r="G172" s="28"/>
      <c r="H172" s="28"/>
      <c r="I172" s="106"/>
      <c r="J172" s="107"/>
      <c r="K172" s="28"/>
    </row>
    <row r="173">
      <c r="C173" s="28"/>
      <c r="D173" s="28"/>
      <c r="F173" s="28"/>
      <c r="G173" s="28"/>
      <c r="H173" s="28"/>
      <c r="I173" s="106"/>
      <c r="J173" s="107"/>
      <c r="K173" s="28"/>
    </row>
    <row r="174">
      <c r="C174" s="28"/>
      <c r="D174" s="28"/>
      <c r="F174" s="28"/>
      <c r="G174" s="28"/>
      <c r="H174" s="28"/>
      <c r="I174" s="106"/>
      <c r="J174" s="107"/>
      <c r="K174" s="28"/>
    </row>
    <row r="175">
      <c r="C175" s="28"/>
      <c r="D175" s="28"/>
      <c r="F175" s="28"/>
      <c r="G175" s="28"/>
      <c r="H175" s="28"/>
      <c r="I175" s="106"/>
      <c r="J175" s="107"/>
      <c r="K175" s="28"/>
    </row>
    <row r="176">
      <c r="C176" s="28"/>
      <c r="D176" s="28"/>
      <c r="F176" s="28"/>
      <c r="G176" s="28"/>
      <c r="H176" s="28"/>
      <c r="I176" s="106"/>
      <c r="J176" s="107"/>
      <c r="K176" s="28"/>
    </row>
    <row r="177">
      <c r="C177" s="28"/>
      <c r="D177" s="28"/>
      <c r="F177" s="28"/>
      <c r="G177" s="28"/>
      <c r="H177" s="28"/>
      <c r="I177" s="106"/>
      <c r="J177" s="107"/>
      <c r="K177" s="28"/>
    </row>
    <row r="178">
      <c r="C178" s="28"/>
      <c r="D178" s="28"/>
      <c r="F178" s="28"/>
      <c r="G178" s="28"/>
      <c r="H178" s="28"/>
      <c r="I178" s="106"/>
      <c r="J178" s="107"/>
      <c r="K178" s="28"/>
    </row>
    <row r="179">
      <c r="C179" s="28"/>
      <c r="D179" s="28"/>
      <c r="F179" s="28"/>
      <c r="G179" s="28"/>
      <c r="H179" s="28"/>
      <c r="I179" s="106"/>
      <c r="J179" s="107"/>
      <c r="K179" s="28"/>
    </row>
    <row r="180">
      <c r="C180" s="28"/>
      <c r="D180" s="28"/>
      <c r="F180" s="28"/>
      <c r="G180" s="28"/>
      <c r="H180" s="28"/>
      <c r="I180" s="106"/>
      <c r="J180" s="107"/>
      <c r="K180" s="28"/>
    </row>
    <row r="181">
      <c r="C181" s="28"/>
      <c r="D181" s="28"/>
      <c r="F181" s="28"/>
      <c r="G181" s="28"/>
      <c r="H181" s="28"/>
      <c r="I181" s="106"/>
      <c r="J181" s="107"/>
      <c r="K181" s="28"/>
    </row>
    <row r="182">
      <c r="C182" s="28"/>
      <c r="D182" s="28"/>
      <c r="F182" s="28"/>
      <c r="G182" s="28"/>
      <c r="H182" s="28"/>
      <c r="I182" s="106"/>
      <c r="J182" s="107"/>
      <c r="K182" s="28"/>
    </row>
    <row r="183">
      <c r="C183" s="28"/>
      <c r="D183" s="28"/>
      <c r="F183" s="28"/>
      <c r="G183" s="28"/>
      <c r="H183" s="28"/>
      <c r="I183" s="106"/>
      <c r="J183" s="107"/>
      <c r="K183" s="28"/>
    </row>
    <row r="184">
      <c r="C184" s="28"/>
      <c r="D184" s="28"/>
      <c r="F184" s="28"/>
      <c r="G184" s="28"/>
      <c r="H184" s="28"/>
      <c r="I184" s="106"/>
      <c r="J184" s="107"/>
      <c r="K184" s="28"/>
    </row>
    <row r="185">
      <c r="C185" s="28"/>
      <c r="D185" s="28"/>
      <c r="F185" s="28"/>
      <c r="G185" s="28"/>
      <c r="H185" s="28"/>
      <c r="I185" s="106"/>
      <c r="J185" s="107"/>
      <c r="K185" s="28"/>
    </row>
    <row r="186">
      <c r="C186" s="28"/>
      <c r="D186" s="28"/>
      <c r="F186" s="28"/>
      <c r="G186" s="28"/>
      <c r="H186" s="28"/>
      <c r="I186" s="106"/>
      <c r="J186" s="107"/>
      <c r="K186" s="28"/>
    </row>
    <row r="187">
      <c r="C187" s="28"/>
      <c r="D187" s="28"/>
      <c r="F187" s="28"/>
      <c r="G187" s="28"/>
      <c r="H187" s="28"/>
      <c r="I187" s="106"/>
      <c r="J187" s="107"/>
      <c r="K187" s="28"/>
    </row>
    <row r="188">
      <c r="C188" s="28"/>
      <c r="D188" s="28"/>
      <c r="F188" s="28"/>
      <c r="G188" s="28"/>
      <c r="H188" s="28"/>
      <c r="I188" s="106"/>
      <c r="J188" s="107"/>
      <c r="K188" s="28"/>
    </row>
    <row r="189">
      <c r="C189" s="28"/>
      <c r="D189" s="28"/>
      <c r="F189" s="28"/>
      <c r="G189" s="28"/>
      <c r="H189" s="28"/>
      <c r="I189" s="106"/>
      <c r="J189" s="107"/>
      <c r="K189" s="28"/>
    </row>
    <row r="190">
      <c r="C190" s="28"/>
      <c r="D190" s="28"/>
      <c r="F190" s="28"/>
      <c r="G190" s="28"/>
      <c r="H190" s="28"/>
      <c r="I190" s="106"/>
      <c r="J190" s="107"/>
      <c r="K190" s="28"/>
    </row>
    <row r="191">
      <c r="C191" s="28"/>
      <c r="D191" s="28"/>
      <c r="F191" s="28"/>
      <c r="G191" s="28"/>
      <c r="H191" s="28"/>
      <c r="I191" s="106"/>
      <c r="J191" s="107"/>
      <c r="K191" s="28"/>
    </row>
    <row r="192">
      <c r="C192" s="28"/>
      <c r="D192" s="28"/>
      <c r="F192" s="28"/>
      <c r="G192" s="28"/>
      <c r="H192" s="28"/>
      <c r="I192" s="106"/>
      <c r="J192" s="107"/>
      <c r="K192" s="28"/>
    </row>
    <row r="193">
      <c r="C193" s="28"/>
      <c r="D193" s="28"/>
      <c r="F193" s="28"/>
      <c r="G193" s="28"/>
      <c r="H193" s="28"/>
      <c r="I193" s="106"/>
      <c r="J193" s="107"/>
      <c r="K193" s="28"/>
    </row>
    <row r="194">
      <c r="C194" s="28"/>
      <c r="D194" s="28"/>
      <c r="F194" s="28"/>
      <c r="G194" s="28"/>
      <c r="H194" s="28"/>
      <c r="I194" s="106"/>
      <c r="J194" s="107"/>
      <c r="K194" s="28"/>
    </row>
    <row r="195">
      <c r="C195" s="28"/>
      <c r="D195" s="28"/>
      <c r="F195" s="28"/>
      <c r="G195" s="28"/>
      <c r="H195" s="28"/>
      <c r="I195" s="106"/>
      <c r="J195" s="107"/>
      <c r="K195" s="28"/>
    </row>
    <row r="196">
      <c r="C196" s="28"/>
      <c r="D196" s="28"/>
      <c r="F196" s="28"/>
      <c r="G196" s="28"/>
      <c r="H196" s="28"/>
      <c r="I196" s="106"/>
      <c r="J196" s="107"/>
      <c r="K196" s="28"/>
    </row>
    <row r="197">
      <c r="C197" s="28"/>
      <c r="D197" s="28"/>
      <c r="F197" s="28"/>
      <c r="G197" s="28"/>
      <c r="H197" s="28"/>
      <c r="I197" s="106"/>
      <c r="J197" s="107"/>
      <c r="K197" s="28"/>
    </row>
    <row r="198">
      <c r="C198" s="28"/>
      <c r="D198" s="28"/>
      <c r="F198" s="28"/>
      <c r="G198" s="28"/>
      <c r="H198" s="28"/>
      <c r="I198" s="106"/>
      <c r="J198" s="107"/>
      <c r="K198" s="28"/>
    </row>
    <row r="199">
      <c r="C199" s="28"/>
      <c r="D199" s="28"/>
      <c r="F199" s="28"/>
      <c r="G199" s="28"/>
      <c r="H199" s="28"/>
      <c r="I199" s="106"/>
      <c r="J199" s="107"/>
      <c r="K199" s="28"/>
    </row>
    <row r="200">
      <c r="C200" s="28"/>
      <c r="D200" s="28"/>
      <c r="F200" s="28"/>
      <c r="G200" s="28"/>
      <c r="H200" s="28"/>
      <c r="I200" s="106"/>
      <c r="J200" s="107"/>
      <c r="K200" s="28"/>
    </row>
    <row r="201">
      <c r="C201" s="28"/>
      <c r="D201" s="28"/>
      <c r="F201" s="28"/>
      <c r="G201" s="28"/>
      <c r="H201" s="28"/>
      <c r="I201" s="106"/>
      <c r="J201" s="107"/>
      <c r="K201" s="28"/>
    </row>
    <row r="202">
      <c r="C202" s="28"/>
      <c r="D202" s="28"/>
      <c r="F202" s="28"/>
      <c r="G202" s="28"/>
      <c r="H202" s="28"/>
      <c r="I202" s="106"/>
      <c r="J202" s="107"/>
      <c r="K202" s="28"/>
    </row>
    <row r="203">
      <c r="C203" s="28"/>
      <c r="D203" s="28"/>
      <c r="F203" s="28"/>
      <c r="G203" s="28"/>
      <c r="H203" s="28"/>
      <c r="I203" s="106"/>
      <c r="J203" s="107"/>
      <c r="K203" s="28"/>
    </row>
    <row r="204">
      <c r="C204" s="28"/>
      <c r="D204" s="28"/>
      <c r="F204" s="28"/>
      <c r="G204" s="28"/>
      <c r="H204" s="28"/>
      <c r="I204" s="106"/>
      <c r="J204" s="107"/>
      <c r="K204" s="28"/>
    </row>
    <row r="205">
      <c r="C205" s="28"/>
      <c r="D205" s="28"/>
      <c r="F205" s="28"/>
      <c r="G205" s="28"/>
      <c r="H205" s="28"/>
      <c r="I205" s="106"/>
      <c r="J205" s="107"/>
      <c r="K205" s="28"/>
    </row>
    <row r="206">
      <c r="C206" s="28"/>
      <c r="D206" s="28"/>
      <c r="F206" s="28"/>
      <c r="G206" s="28"/>
      <c r="H206" s="28"/>
      <c r="I206" s="106"/>
      <c r="J206" s="107"/>
      <c r="K206" s="28"/>
    </row>
    <row r="207">
      <c r="C207" s="28"/>
      <c r="D207" s="28"/>
      <c r="F207" s="28"/>
      <c r="G207" s="28"/>
      <c r="H207" s="28"/>
      <c r="I207" s="106"/>
      <c r="J207" s="107"/>
      <c r="K207" s="28"/>
    </row>
    <row r="208">
      <c r="C208" s="28"/>
      <c r="D208" s="28"/>
      <c r="F208" s="28"/>
      <c r="G208" s="28"/>
      <c r="H208" s="28"/>
      <c r="I208" s="106"/>
      <c r="J208" s="107"/>
      <c r="K208" s="28"/>
    </row>
    <row r="209">
      <c r="C209" s="28"/>
      <c r="D209" s="28"/>
      <c r="F209" s="28"/>
      <c r="G209" s="28"/>
      <c r="H209" s="28"/>
      <c r="I209" s="106"/>
      <c r="J209" s="107"/>
      <c r="K209" s="28"/>
    </row>
    <row r="210">
      <c r="C210" s="28"/>
      <c r="D210" s="28"/>
      <c r="F210" s="28"/>
      <c r="G210" s="28"/>
      <c r="H210" s="28"/>
      <c r="I210" s="106"/>
      <c r="J210" s="107"/>
      <c r="K210" s="28"/>
    </row>
    <row r="211">
      <c r="C211" s="28"/>
      <c r="D211" s="28"/>
      <c r="F211" s="28"/>
      <c r="G211" s="28"/>
      <c r="H211" s="28"/>
      <c r="I211" s="106"/>
      <c r="J211" s="107"/>
      <c r="K211" s="28"/>
    </row>
    <row r="212">
      <c r="C212" s="28"/>
      <c r="D212" s="28"/>
      <c r="F212" s="28"/>
      <c r="G212" s="28"/>
      <c r="H212" s="28"/>
      <c r="I212" s="106"/>
      <c r="J212" s="107"/>
      <c r="K212" s="28"/>
    </row>
    <row r="213">
      <c r="C213" s="28"/>
      <c r="D213" s="28"/>
      <c r="F213" s="28"/>
      <c r="G213" s="28"/>
      <c r="H213" s="28"/>
      <c r="I213" s="106"/>
      <c r="J213" s="107"/>
      <c r="K213" s="28"/>
    </row>
    <row r="214">
      <c r="C214" s="28"/>
      <c r="D214" s="28"/>
      <c r="F214" s="28"/>
      <c r="G214" s="28"/>
      <c r="H214" s="28"/>
      <c r="I214" s="106"/>
      <c r="J214" s="107"/>
      <c r="K214" s="28"/>
    </row>
    <row r="215">
      <c r="C215" s="28"/>
      <c r="D215" s="28"/>
      <c r="F215" s="28"/>
      <c r="G215" s="28"/>
      <c r="H215" s="28"/>
      <c r="I215" s="106"/>
      <c r="J215" s="107"/>
      <c r="K215" s="28"/>
    </row>
    <row r="216">
      <c r="C216" s="28"/>
      <c r="D216" s="28"/>
      <c r="F216" s="28"/>
      <c r="G216" s="28"/>
      <c r="H216" s="28"/>
      <c r="I216" s="106"/>
      <c r="J216" s="107"/>
      <c r="K216" s="28"/>
    </row>
    <row r="217">
      <c r="C217" s="28"/>
      <c r="D217" s="28"/>
      <c r="F217" s="28"/>
      <c r="G217" s="28"/>
      <c r="H217" s="28"/>
      <c r="I217" s="106"/>
      <c r="J217" s="107"/>
      <c r="K217" s="28"/>
    </row>
    <row r="218">
      <c r="C218" s="28"/>
      <c r="D218" s="28"/>
      <c r="F218" s="28"/>
      <c r="G218" s="28"/>
      <c r="H218" s="28"/>
      <c r="I218" s="106"/>
      <c r="J218" s="107"/>
      <c r="K218" s="28"/>
    </row>
    <row r="219">
      <c r="C219" s="28"/>
      <c r="D219" s="28"/>
      <c r="F219" s="28"/>
      <c r="G219" s="28"/>
      <c r="H219" s="28"/>
      <c r="I219" s="106"/>
      <c r="J219" s="107"/>
      <c r="K219" s="28"/>
    </row>
    <row r="220">
      <c r="C220" s="28"/>
      <c r="D220" s="28"/>
      <c r="F220" s="28"/>
      <c r="G220" s="28"/>
      <c r="H220" s="28"/>
      <c r="I220" s="106"/>
      <c r="J220" s="107"/>
      <c r="K220" s="28"/>
    </row>
    <row r="221">
      <c r="C221" s="28"/>
      <c r="D221" s="28"/>
      <c r="F221" s="28"/>
      <c r="G221" s="28"/>
      <c r="H221" s="28"/>
      <c r="I221" s="106"/>
      <c r="J221" s="107"/>
      <c r="K221" s="28"/>
    </row>
    <row r="222">
      <c r="C222" s="28"/>
      <c r="D222" s="28"/>
      <c r="F222" s="28"/>
      <c r="G222" s="28"/>
      <c r="H222" s="28"/>
      <c r="I222" s="106"/>
      <c r="J222" s="107"/>
      <c r="K222" s="28"/>
    </row>
    <row r="223">
      <c r="C223" s="28"/>
      <c r="D223" s="28"/>
      <c r="F223" s="28"/>
      <c r="G223" s="28"/>
      <c r="H223" s="28"/>
      <c r="I223" s="106"/>
      <c r="J223" s="107"/>
      <c r="K223" s="28"/>
    </row>
    <row r="224">
      <c r="C224" s="28"/>
      <c r="D224" s="28"/>
      <c r="F224" s="28"/>
      <c r="G224" s="28"/>
      <c r="H224" s="28"/>
      <c r="I224" s="106"/>
      <c r="J224" s="107"/>
      <c r="K224" s="28"/>
    </row>
    <row r="225">
      <c r="C225" s="28"/>
      <c r="D225" s="28"/>
      <c r="F225" s="28"/>
      <c r="G225" s="28"/>
      <c r="H225" s="28"/>
      <c r="I225" s="106"/>
      <c r="J225" s="107"/>
      <c r="K225" s="28"/>
    </row>
    <row r="226">
      <c r="C226" s="28"/>
      <c r="D226" s="28"/>
      <c r="F226" s="28"/>
      <c r="G226" s="28"/>
      <c r="H226" s="28"/>
      <c r="I226" s="106"/>
      <c r="J226" s="107"/>
      <c r="K226" s="28"/>
    </row>
    <row r="227">
      <c r="C227" s="28"/>
      <c r="D227" s="28"/>
      <c r="F227" s="28"/>
      <c r="G227" s="28"/>
      <c r="H227" s="28"/>
      <c r="I227" s="106"/>
      <c r="J227" s="107"/>
      <c r="K227" s="28"/>
    </row>
    <row r="228">
      <c r="C228" s="28"/>
      <c r="D228" s="28"/>
      <c r="F228" s="28"/>
      <c r="G228" s="28"/>
      <c r="H228" s="28"/>
      <c r="I228" s="106"/>
      <c r="J228" s="107"/>
      <c r="K228" s="28"/>
    </row>
    <row r="229">
      <c r="C229" s="28"/>
      <c r="D229" s="28"/>
      <c r="F229" s="28"/>
      <c r="G229" s="28"/>
      <c r="H229" s="28"/>
      <c r="I229" s="106"/>
      <c r="J229" s="107"/>
      <c r="K229" s="28"/>
    </row>
    <row r="230">
      <c r="C230" s="28"/>
      <c r="D230" s="28"/>
      <c r="F230" s="28"/>
      <c r="G230" s="28"/>
      <c r="H230" s="28"/>
      <c r="I230" s="106"/>
      <c r="J230" s="107"/>
      <c r="K230" s="28"/>
    </row>
    <row r="231">
      <c r="C231" s="28"/>
      <c r="D231" s="28"/>
      <c r="F231" s="28"/>
      <c r="G231" s="28"/>
      <c r="H231" s="28"/>
      <c r="I231" s="106"/>
      <c r="J231" s="107"/>
      <c r="K231" s="28"/>
    </row>
    <row r="232">
      <c r="C232" s="28"/>
      <c r="D232" s="28"/>
      <c r="F232" s="28"/>
      <c r="G232" s="28"/>
      <c r="H232" s="28"/>
      <c r="I232" s="106"/>
      <c r="J232" s="107"/>
      <c r="K232" s="28"/>
    </row>
    <row r="233">
      <c r="C233" s="28"/>
      <c r="D233" s="28"/>
      <c r="F233" s="28"/>
      <c r="G233" s="28"/>
      <c r="H233" s="28"/>
      <c r="I233" s="106"/>
      <c r="J233" s="107"/>
      <c r="K233" s="28"/>
    </row>
    <row r="234">
      <c r="C234" s="28"/>
      <c r="D234" s="28"/>
      <c r="F234" s="28"/>
      <c r="G234" s="28"/>
      <c r="H234" s="28"/>
      <c r="I234" s="106"/>
      <c r="J234" s="107"/>
      <c r="K234" s="28"/>
    </row>
    <row r="235">
      <c r="C235" s="28"/>
      <c r="D235" s="28"/>
      <c r="F235" s="28"/>
      <c r="G235" s="28"/>
      <c r="H235" s="28"/>
      <c r="I235" s="106"/>
      <c r="J235" s="107"/>
      <c r="K235" s="28"/>
    </row>
    <row r="236">
      <c r="C236" s="28"/>
      <c r="D236" s="28"/>
      <c r="F236" s="28"/>
      <c r="G236" s="28"/>
      <c r="H236" s="28"/>
      <c r="I236" s="106"/>
      <c r="J236" s="107"/>
      <c r="K236" s="28"/>
    </row>
    <row r="237">
      <c r="C237" s="28"/>
      <c r="D237" s="28"/>
      <c r="F237" s="28"/>
      <c r="G237" s="28"/>
      <c r="H237" s="28"/>
      <c r="I237" s="106"/>
      <c r="J237" s="107"/>
      <c r="K237" s="28"/>
    </row>
    <row r="238">
      <c r="C238" s="28"/>
      <c r="D238" s="28"/>
      <c r="F238" s="28"/>
      <c r="G238" s="28"/>
      <c r="H238" s="28"/>
      <c r="I238" s="106"/>
      <c r="J238" s="107"/>
      <c r="K238" s="28"/>
    </row>
    <row r="239">
      <c r="C239" s="28"/>
      <c r="D239" s="28"/>
      <c r="F239" s="28"/>
      <c r="G239" s="28"/>
      <c r="H239" s="28"/>
      <c r="I239" s="106"/>
      <c r="J239" s="107"/>
      <c r="K239" s="28"/>
    </row>
    <row r="240">
      <c r="C240" s="28"/>
      <c r="D240" s="28"/>
      <c r="F240" s="28"/>
      <c r="G240" s="28"/>
      <c r="H240" s="28"/>
      <c r="I240" s="106"/>
      <c r="J240" s="107"/>
      <c r="K240" s="28"/>
    </row>
    <row r="241">
      <c r="C241" s="28"/>
      <c r="D241" s="28"/>
      <c r="F241" s="28"/>
      <c r="G241" s="28"/>
      <c r="H241" s="28"/>
      <c r="I241" s="106"/>
      <c r="J241" s="107"/>
      <c r="K241" s="28"/>
    </row>
    <row r="242">
      <c r="C242" s="28"/>
      <c r="D242" s="28"/>
      <c r="F242" s="28"/>
      <c r="G242" s="28"/>
      <c r="H242" s="28"/>
      <c r="I242" s="106"/>
      <c r="J242" s="107"/>
      <c r="K242" s="28"/>
    </row>
    <row r="243">
      <c r="C243" s="28"/>
      <c r="D243" s="28"/>
      <c r="F243" s="28"/>
      <c r="G243" s="28"/>
      <c r="H243" s="28"/>
      <c r="I243" s="106"/>
      <c r="J243" s="107"/>
      <c r="K243" s="28"/>
    </row>
    <row r="244">
      <c r="C244" s="28"/>
      <c r="D244" s="28"/>
      <c r="F244" s="28"/>
      <c r="G244" s="28"/>
      <c r="H244" s="28"/>
      <c r="I244" s="106"/>
      <c r="J244" s="107"/>
      <c r="K244" s="28"/>
    </row>
    <row r="245">
      <c r="C245" s="28"/>
      <c r="D245" s="28"/>
      <c r="F245" s="28"/>
      <c r="G245" s="28"/>
      <c r="H245" s="28"/>
      <c r="I245" s="106"/>
      <c r="J245" s="107"/>
      <c r="K245" s="28"/>
    </row>
    <row r="246">
      <c r="C246" s="28"/>
      <c r="D246" s="28"/>
      <c r="F246" s="28"/>
      <c r="G246" s="28"/>
      <c r="H246" s="28"/>
      <c r="I246" s="106"/>
      <c r="J246" s="107"/>
      <c r="K246" s="28"/>
    </row>
    <row r="247">
      <c r="C247" s="28"/>
      <c r="D247" s="28"/>
      <c r="F247" s="28"/>
      <c r="G247" s="28"/>
      <c r="H247" s="28"/>
      <c r="I247" s="106"/>
      <c r="J247" s="107"/>
      <c r="K247" s="28"/>
    </row>
    <row r="248">
      <c r="C248" s="28"/>
      <c r="D248" s="28"/>
      <c r="F248" s="28"/>
      <c r="G248" s="28"/>
      <c r="H248" s="28"/>
      <c r="I248" s="106"/>
      <c r="J248" s="107"/>
      <c r="K248" s="28"/>
    </row>
    <row r="249">
      <c r="C249" s="28"/>
      <c r="D249" s="28"/>
      <c r="F249" s="28"/>
      <c r="G249" s="28"/>
      <c r="H249" s="28"/>
      <c r="I249" s="106"/>
      <c r="J249" s="107"/>
      <c r="K249" s="28"/>
    </row>
    <row r="250">
      <c r="C250" s="28"/>
      <c r="D250" s="28"/>
      <c r="F250" s="28"/>
      <c r="G250" s="28"/>
      <c r="H250" s="28"/>
      <c r="I250" s="106"/>
      <c r="J250" s="107"/>
      <c r="K250" s="28"/>
    </row>
    <row r="251">
      <c r="C251" s="28"/>
      <c r="D251" s="28"/>
      <c r="F251" s="28"/>
      <c r="G251" s="28"/>
      <c r="H251" s="28"/>
      <c r="I251" s="106"/>
      <c r="J251" s="107"/>
      <c r="K251" s="28"/>
    </row>
    <row r="252">
      <c r="C252" s="28"/>
      <c r="D252" s="28"/>
      <c r="F252" s="28"/>
      <c r="G252" s="28"/>
      <c r="H252" s="28"/>
      <c r="I252" s="106"/>
      <c r="J252" s="107"/>
      <c r="K252" s="28"/>
    </row>
    <row r="253">
      <c r="C253" s="28"/>
      <c r="D253" s="28"/>
      <c r="F253" s="28"/>
      <c r="G253" s="28"/>
      <c r="H253" s="28"/>
      <c r="I253" s="106"/>
      <c r="J253" s="107"/>
      <c r="K253" s="28"/>
    </row>
    <row r="254">
      <c r="C254" s="28"/>
      <c r="D254" s="28"/>
      <c r="F254" s="28"/>
      <c r="G254" s="28"/>
      <c r="H254" s="28"/>
      <c r="I254" s="106"/>
      <c r="J254" s="107"/>
      <c r="K254" s="28"/>
    </row>
    <row r="255">
      <c r="C255" s="28"/>
      <c r="D255" s="28"/>
      <c r="F255" s="28"/>
      <c r="G255" s="28"/>
      <c r="H255" s="28"/>
      <c r="I255" s="106"/>
      <c r="J255" s="107"/>
      <c r="K255" s="28"/>
    </row>
    <row r="256">
      <c r="C256" s="28"/>
      <c r="D256" s="28"/>
      <c r="F256" s="28"/>
      <c r="G256" s="28"/>
      <c r="H256" s="28"/>
      <c r="I256" s="106"/>
      <c r="J256" s="107"/>
      <c r="K256" s="28"/>
    </row>
    <row r="257">
      <c r="C257" s="28"/>
      <c r="D257" s="28"/>
      <c r="F257" s="28"/>
      <c r="G257" s="28"/>
      <c r="H257" s="28"/>
      <c r="I257" s="106"/>
      <c r="J257" s="107"/>
      <c r="K257" s="28"/>
    </row>
    <row r="258">
      <c r="C258" s="28"/>
      <c r="D258" s="28"/>
      <c r="F258" s="28"/>
      <c r="G258" s="28"/>
      <c r="H258" s="28"/>
      <c r="I258" s="106"/>
      <c r="J258" s="107"/>
      <c r="K258" s="28"/>
    </row>
    <row r="259">
      <c r="C259" s="28"/>
      <c r="D259" s="28"/>
      <c r="F259" s="28"/>
      <c r="G259" s="28"/>
      <c r="H259" s="28"/>
      <c r="I259" s="106"/>
      <c r="J259" s="107"/>
      <c r="K259" s="28"/>
    </row>
    <row r="260">
      <c r="C260" s="28"/>
      <c r="D260" s="28"/>
      <c r="F260" s="28"/>
      <c r="G260" s="28"/>
      <c r="H260" s="28"/>
      <c r="I260" s="106"/>
      <c r="J260" s="107"/>
      <c r="K260" s="28"/>
    </row>
    <row r="261">
      <c r="C261" s="28"/>
      <c r="D261" s="28"/>
      <c r="F261" s="28"/>
      <c r="G261" s="28"/>
      <c r="H261" s="28"/>
      <c r="I261" s="106"/>
      <c r="J261" s="107"/>
      <c r="K261" s="28"/>
    </row>
    <row r="262">
      <c r="C262" s="28"/>
      <c r="D262" s="28"/>
      <c r="F262" s="28"/>
      <c r="G262" s="28"/>
      <c r="H262" s="28"/>
      <c r="I262" s="106"/>
      <c r="J262" s="107"/>
      <c r="K262" s="28"/>
    </row>
    <row r="263">
      <c r="C263" s="28"/>
      <c r="D263" s="28"/>
      <c r="F263" s="28"/>
      <c r="G263" s="28"/>
      <c r="H263" s="28"/>
      <c r="I263" s="106"/>
      <c r="J263" s="107"/>
      <c r="K263" s="28"/>
    </row>
    <row r="264">
      <c r="C264" s="28"/>
      <c r="D264" s="28"/>
      <c r="F264" s="28"/>
      <c r="G264" s="28"/>
      <c r="H264" s="28"/>
      <c r="I264" s="106"/>
      <c r="J264" s="107"/>
      <c r="K264" s="28"/>
    </row>
    <row r="265">
      <c r="C265" s="28"/>
      <c r="D265" s="28"/>
      <c r="F265" s="28"/>
      <c r="G265" s="28"/>
      <c r="H265" s="28"/>
      <c r="I265" s="106"/>
      <c r="J265" s="107"/>
      <c r="K265" s="28"/>
    </row>
    <row r="266">
      <c r="C266" s="28"/>
      <c r="D266" s="28"/>
      <c r="F266" s="28"/>
      <c r="G266" s="28"/>
      <c r="H266" s="28"/>
      <c r="I266" s="106"/>
      <c r="J266" s="107"/>
      <c r="K266" s="28"/>
    </row>
    <row r="267">
      <c r="C267" s="28"/>
      <c r="D267" s="28"/>
      <c r="F267" s="28"/>
      <c r="G267" s="28"/>
      <c r="H267" s="28"/>
      <c r="I267" s="106"/>
      <c r="J267" s="107"/>
      <c r="K267" s="28"/>
    </row>
    <row r="268">
      <c r="C268" s="28"/>
      <c r="D268" s="28"/>
      <c r="F268" s="28"/>
      <c r="G268" s="28"/>
      <c r="H268" s="28"/>
      <c r="I268" s="106"/>
      <c r="J268" s="107"/>
      <c r="K268" s="28"/>
    </row>
    <row r="269">
      <c r="C269" s="28"/>
      <c r="D269" s="28"/>
      <c r="F269" s="28"/>
      <c r="G269" s="28"/>
      <c r="H269" s="28"/>
      <c r="I269" s="106"/>
      <c r="J269" s="107"/>
      <c r="K269" s="28"/>
    </row>
    <row r="270">
      <c r="C270" s="28"/>
      <c r="D270" s="28"/>
      <c r="F270" s="28"/>
      <c r="G270" s="28"/>
      <c r="H270" s="28"/>
      <c r="I270" s="106"/>
      <c r="J270" s="107"/>
      <c r="K270" s="28"/>
    </row>
    <row r="271">
      <c r="C271" s="28"/>
      <c r="D271" s="28"/>
      <c r="F271" s="28"/>
      <c r="G271" s="28"/>
      <c r="H271" s="28"/>
      <c r="I271" s="106"/>
      <c r="J271" s="107"/>
      <c r="K271" s="28"/>
    </row>
    <row r="272">
      <c r="C272" s="28"/>
      <c r="D272" s="28"/>
      <c r="F272" s="28"/>
      <c r="G272" s="28"/>
      <c r="H272" s="28"/>
      <c r="I272" s="106"/>
      <c r="J272" s="107"/>
      <c r="K272" s="28"/>
    </row>
    <row r="273">
      <c r="C273" s="28"/>
      <c r="D273" s="28"/>
      <c r="F273" s="28"/>
      <c r="G273" s="28"/>
      <c r="H273" s="28"/>
      <c r="I273" s="106"/>
      <c r="J273" s="107"/>
      <c r="K273" s="28"/>
    </row>
    <row r="274">
      <c r="C274" s="28"/>
      <c r="D274" s="28"/>
      <c r="F274" s="28"/>
      <c r="G274" s="28"/>
      <c r="H274" s="28"/>
      <c r="I274" s="106"/>
      <c r="J274" s="107"/>
      <c r="K274" s="28"/>
    </row>
    <row r="275">
      <c r="C275" s="28"/>
      <c r="D275" s="28"/>
      <c r="F275" s="28"/>
      <c r="G275" s="28"/>
      <c r="H275" s="28"/>
      <c r="I275" s="106"/>
      <c r="J275" s="107"/>
      <c r="K275" s="28"/>
    </row>
    <row r="276">
      <c r="C276" s="28"/>
      <c r="D276" s="28"/>
      <c r="F276" s="28"/>
      <c r="G276" s="28"/>
      <c r="H276" s="28"/>
      <c r="I276" s="106"/>
      <c r="J276" s="107"/>
      <c r="K276" s="28"/>
    </row>
    <row r="277">
      <c r="C277" s="28"/>
      <c r="D277" s="28"/>
      <c r="F277" s="28"/>
      <c r="G277" s="28"/>
      <c r="H277" s="28"/>
      <c r="I277" s="106"/>
      <c r="J277" s="107"/>
      <c r="K277" s="28"/>
    </row>
    <row r="278">
      <c r="C278" s="28"/>
      <c r="D278" s="28"/>
      <c r="F278" s="28"/>
      <c r="G278" s="28"/>
      <c r="H278" s="28"/>
      <c r="I278" s="106"/>
      <c r="J278" s="107"/>
      <c r="K278" s="28"/>
    </row>
    <row r="279">
      <c r="C279" s="28"/>
      <c r="D279" s="28"/>
      <c r="F279" s="28"/>
      <c r="G279" s="28"/>
      <c r="H279" s="28"/>
      <c r="I279" s="106"/>
      <c r="J279" s="107"/>
      <c r="K279" s="28"/>
    </row>
    <row r="280">
      <c r="C280" s="28"/>
      <c r="D280" s="28"/>
      <c r="F280" s="28"/>
      <c r="G280" s="28"/>
      <c r="H280" s="28"/>
      <c r="I280" s="106"/>
      <c r="J280" s="107"/>
      <c r="K280" s="28"/>
    </row>
    <row r="281">
      <c r="C281" s="28"/>
      <c r="D281" s="28"/>
      <c r="F281" s="28"/>
      <c r="G281" s="28"/>
      <c r="H281" s="28"/>
      <c r="I281" s="106"/>
      <c r="J281" s="107"/>
      <c r="K281" s="28"/>
    </row>
    <row r="282">
      <c r="C282" s="28"/>
      <c r="D282" s="28"/>
      <c r="F282" s="28"/>
      <c r="G282" s="28"/>
      <c r="H282" s="28"/>
      <c r="I282" s="106"/>
      <c r="J282" s="107"/>
      <c r="K282" s="28"/>
    </row>
    <row r="283">
      <c r="C283" s="28"/>
      <c r="D283" s="28"/>
      <c r="F283" s="28"/>
      <c r="G283" s="28"/>
      <c r="H283" s="28"/>
      <c r="I283" s="106"/>
      <c r="J283" s="107"/>
      <c r="K283" s="28"/>
    </row>
    <row r="284">
      <c r="C284" s="28"/>
      <c r="D284" s="28"/>
      <c r="F284" s="28"/>
      <c r="G284" s="28"/>
      <c r="H284" s="28"/>
      <c r="I284" s="106"/>
      <c r="J284" s="107"/>
      <c r="K284" s="28"/>
    </row>
    <row r="285">
      <c r="C285" s="28"/>
      <c r="D285" s="28"/>
      <c r="F285" s="28"/>
      <c r="G285" s="28"/>
      <c r="H285" s="28"/>
      <c r="I285" s="106"/>
      <c r="J285" s="107"/>
      <c r="K285" s="28"/>
    </row>
    <row r="286">
      <c r="C286" s="28"/>
      <c r="D286" s="28"/>
      <c r="F286" s="28"/>
      <c r="G286" s="28"/>
      <c r="H286" s="28"/>
      <c r="I286" s="106"/>
      <c r="J286" s="107"/>
      <c r="K286" s="28"/>
    </row>
    <row r="287">
      <c r="C287" s="28"/>
      <c r="D287" s="28"/>
      <c r="F287" s="28"/>
      <c r="G287" s="28"/>
      <c r="H287" s="28"/>
      <c r="I287" s="106"/>
      <c r="J287" s="107"/>
      <c r="K287" s="28"/>
    </row>
    <row r="288">
      <c r="C288" s="28"/>
      <c r="D288" s="28"/>
      <c r="F288" s="28"/>
      <c r="G288" s="28"/>
      <c r="H288" s="28"/>
      <c r="I288" s="106"/>
      <c r="J288" s="107"/>
      <c r="K288" s="28"/>
    </row>
    <row r="289">
      <c r="C289" s="28"/>
      <c r="D289" s="28"/>
      <c r="F289" s="28"/>
      <c r="G289" s="28"/>
      <c r="H289" s="28"/>
      <c r="I289" s="106"/>
      <c r="J289" s="107"/>
      <c r="K289" s="28"/>
    </row>
    <row r="290">
      <c r="C290" s="28"/>
      <c r="D290" s="28"/>
      <c r="F290" s="28"/>
      <c r="G290" s="28"/>
      <c r="H290" s="28"/>
      <c r="I290" s="106"/>
      <c r="J290" s="107"/>
      <c r="K290" s="28"/>
    </row>
    <row r="291">
      <c r="C291" s="28"/>
      <c r="D291" s="28"/>
      <c r="F291" s="28"/>
      <c r="G291" s="28"/>
      <c r="H291" s="28"/>
      <c r="I291" s="106"/>
      <c r="J291" s="107"/>
      <c r="K291" s="28"/>
    </row>
    <row r="292">
      <c r="C292" s="28"/>
      <c r="D292" s="28"/>
      <c r="F292" s="28"/>
      <c r="G292" s="28"/>
      <c r="H292" s="28"/>
      <c r="I292" s="106"/>
      <c r="J292" s="107"/>
      <c r="K292" s="28"/>
    </row>
    <row r="293">
      <c r="C293" s="28"/>
      <c r="D293" s="28"/>
      <c r="F293" s="28"/>
      <c r="G293" s="28"/>
      <c r="H293" s="28"/>
      <c r="I293" s="106"/>
      <c r="J293" s="107"/>
      <c r="K293" s="28"/>
    </row>
    <row r="294">
      <c r="C294" s="28"/>
      <c r="D294" s="28"/>
      <c r="F294" s="28"/>
      <c r="G294" s="28"/>
      <c r="H294" s="28"/>
      <c r="I294" s="106"/>
      <c r="J294" s="107"/>
      <c r="K294" s="28"/>
    </row>
    <row r="295">
      <c r="C295" s="28"/>
      <c r="D295" s="28"/>
      <c r="F295" s="28"/>
      <c r="G295" s="28"/>
      <c r="H295" s="28"/>
      <c r="I295" s="106"/>
      <c r="J295" s="107"/>
      <c r="K295" s="28"/>
    </row>
    <row r="296">
      <c r="C296" s="28"/>
      <c r="D296" s="28"/>
      <c r="F296" s="28"/>
      <c r="G296" s="28"/>
      <c r="H296" s="28"/>
      <c r="I296" s="106"/>
      <c r="J296" s="107"/>
      <c r="K296" s="28"/>
    </row>
    <row r="297">
      <c r="C297" s="28"/>
      <c r="D297" s="28"/>
      <c r="F297" s="28"/>
      <c r="G297" s="28"/>
      <c r="H297" s="28"/>
      <c r="I297" s="106"/>
      <c r="J297" s="107"/>
      <c r="K297" s="28"/>
    </row>
    <row r="298">
      <c r="C298" s="28"/>
      <c r="D298" s="28"/>
      <c r="F298" s="28"/>
      <c r="G298" s="28"/>
      <c r="H298" s="28"/>
      <c r="I298" s="106"/>
      <c r="J298" s="107"/>
      <c r="K298" s="28"/>
    </row>
    <row r="299">
      <c r="C299" s="28"/>
      <c r="D299" s="28"/>
      <c r="F299" s="28"/>
      <c r="G299" s="28"/>
      <c r="H299" s="28"/>
      <c r="I299" s="106"/>
      <c r="J299" s="107"/>
      <c r="K299" s="28"/>
    </row>
    <row r="300">
      <c r="C300" s="28"/>
      <c r="D300" s="28"/>
      <c r="F300" s="28"/>
      <c r="G300" s="28"/>
      <c r="H300" s="28"/>
      <c r="I300" s="106"/>
      <c r="J300" s="107"/>
      <c r="K300" s="28"/>
    </row>
    <row r="301">
      <c r="C301" s="28"/>
      <c r="D301" s="28"/>
      <c r="F301" s="28"/>
      <c r="G301" s="28"/>
      <c r="H301" s="28"/>
      <c r="I301" s="106"/>
      <c r="J301" s="107"/>
      <c r="K301" s="28"/>
    </row>
    <row r="302">
      <c r="C302" s="28"/>
      <c r="D302" s="28"/>
      <c r="F302" s="28"/>
      <c r="G302" s="28"/>
      <c r="H302" s="28"/>
      <c r="I302" s="106"/>
      <c r="J302" s="107"/>
      <c r="K302" s="28"/>
    </row>
    <row r="303">
      <c r="C303" s="28"/>
      <c r="D303" s="28"/>
      <c r="F303" s="28"/>
      <c r="G303" s="28"/>
      <c r="H303" s="28"/>
      <c r="I303" s="106"/>
      <c r="J303" s="107"/>
      <c r="K303" s="28"/>
    </row>
    <row r="304">
      <c r="C304" s="28"/>
      <c r="D304" s="28"/>
      <c r="F304" s="28"/>
      <c r="G304" s="28"/>
      <c r="H304" s="28"/>
      <c r="I304" s="106"/>
      <c r="J304" s="107"/>
      <c r="K304" s="28"/>
    </row>
    <row r="305">
      <c r="C305" s="28"/>
      <c r="D305" s="28"/>
      <c r="F305" s="28"/>
      <c r="G305" s="28"/>
      <c r="H305" s="28"/>
      <c r="I305" s="106"/>
      <c r="J305" s="107"/>
      <c r="K305" s="28"/>
    </row>
    <row r="306">
      <c r="C306" s="28"/>
      <c r="D306" s="28"/>
      <c r="F306" s="28"/>
      <c r="G306" s="28"/>
      <c r="H306" s="28"/>
      <c r="I306" s="106"/>
      <c r="J306" s="107"/>
      <c r="K306" s="28"/>
    </row>
    <row r="307">
      <c r="C307" s="28"/>
      <c r="D307" s="28"/>
      <c r="F307" s="28"/>
      <c r="G307" s="28"/>
      <c r="H307" s="28"/>
      <c r="I307" s="106"/>
      <c r="J307" s="107"/>
      <c r="K307" s="28"/>
    </row>
    <row r="308">
      <c r="C308" s="28"/>
      <c r="D308" s="28"/>
      <c r="F308" s="28"/>
      <c r="G308" s="28"/>
      <c r="H308" s="28"/>
      <c r="I308" s="106"/>
      <c r="J308" s="107"/>
      <c r="K308" s="28"/>
    </row>
    <row r="309">
      <c r="C309" s="28"/>
      <c r="D309" s="28"/>
      <c r="F309" s="28"/>
      <c r="G309" s="28"/>
      <c r="H309" s="28"/>
      <c r="I309" s="106"/>
      <c r="J309" s="107"/>
      <c r="K309" s="28"/>
    </row>
    <row r="310">
      <c r="C310" s="28"/>
      <c r="D310" s="28"/>
      <c r="F310" s="28"/>
      <c r="G310" s="28"/>
      <c r="H310" s="28"/>
      <c r="I310" s="106"/>
      <c r="J310" s="107"/>
      <c r="K310" s="28"/>
    </row>
    <row r="311">
      <c r="C311" s="28"/>
      <c r="D311" s="28"/>
      <c r="F311" s="28"/>
      <c r="G311" s="28"/>
      <c r="H311" s="28"/>
      <c r="I311" s="106"/>
      <c r="J311" s="107"/>
      <c r="K311" s="28"/>
    </row>
    <row r="312">
      <c r="C312" s="28"/>
      <c r="D312" s="28"/>
      <c r="F312" s="28"/>
      <c r="G312" s="28"/>
      <c r="H312" s="28"/>
      <c r="I312" s="106"/>
      <c r="J312" s="107"/>
      <c r="K312" s="28"/>
    </row>
    <row r="313">
      <c r="C313" s="28"/>
      <c r="D313" s="28"/>
      <c r="F313" s="28"/>
      <c r="G313" s="28"/>
      <c r="H313" s="28"/>
      <c r="I313" s="106"/>
      <c r="J313" s="107"/>
      <c r="K313" s="28"/>
    </row>
    <row r="314">
      <c r="C314" s="28"/>
      <c r="D314" s="28"/>
      <c r="F314" s="28"/>
      <c r="G314" s="28"/>
      <c r="H314" s="28"/>
      <c r="I314" s="106"/>
      <c r="J314" s="107"/>
      <c r="K314" s="28"/>
    </row>
    <row r="315">
      <c r="C315" s="28"/>
      <c r="D315" s="28"/>
      <c r="F315" s="28"/>
      <c r="G315" s="28"/>
      <c r="H315" s="28"/>
      <c r="I315" s="106"/>
      <c r="J315" s="107"/>
      <c r="K315" s="28"/>
    </row>
    <row r="316">
      <c r="C316" s="28"/>
      <c r="D316" s="28"/>
      <c r="F316" s="28"/>
      <c r="G316" s="28"/>
      <c r="H316" s="28"/>
      <c r="I316" s="106"/>
      <c r="J316" s="107"/>
      <c r="K316" s="28"/>
    </row>
    <row r="317">
      <c r="C317" s="28"/>
      <c r="D317" s="28"/>
      <c r="F317" s="28"/>
      <c r="G317" s="28"/>
      <c r="H317" s="28"/>
      <c r="I317" s="106"/>
      <c r="J317" s="107"/>
      <c r="K317" s="28"/>
    </row>
    <row r="318">
      <c r="C318" s="28"/>
      <c r="D318" s="28"/>
      <c r="F318" s="28"/>
      <c r="G318" s="28"/>
      <c r="H318" s="28"/>
      <c r="I318" s="106"/>
      <c r="J318" s="107"/>
      <c r="K318" s="28"/>
    </row>
    <row r="319">
      <c r="C319" s="28"/>
      <c r="D319" s="28"/>
      <c r="F319" s="28"/>
      <c r="G319" s="28"/>
      <c r="H319" s="28"/>
      <c r="I319" s="106"/>
      <c r="J319" s="107"/>
      <c r="K319" s="28"/>
    </row>
    <row r="320">
      <c r="C320" s="28"/>
      <c r="D320" s="28"/>
      <c r="F320" s="28"/>
      <c r="G320" s="28"/>
      <c r="H320" s="28"/>
      <c r="I320" s="106"/>
      <c r="J320" s="107"/>
      <c r="K320" s="28"/>
    </row>
    <row r="321">
      <c r="C321" s="28"/>
      <c r="D321" s="28"/>
      <c r="F321" s="28"/>
      <c r="G321" s="28"/>
      <c r="H321" s="28"/>
      <c r="I321" s="106"/>
      <c r="J321" s="107"/>
      <c r="K321" s="28"/>
    </row>
    <row r="322">
      <c r="C322" s="28"/>
      <c r="D322" s="28"/>
      <c r="F322" s="28"/>
      <c r="G322" s="28"/>
      <c r="H322" s="28"/>
      <c r="I322" s="106"/>
      <c r="J322" s="107"/>
      <c r="K322" s="28"/>
    </row>
    <row r="323">
      <c r="C323" s="28"/>
      <c r="D323" s="28"/>
      <c r="F323" s="28"/>
      <c r="G323" s="28"/>
      <c r="H323" s="28"/>
      <c r="I323" s="106"/>
      <c r="J323" s="107"/>
      <c r="K323" s="28"/>
    </row>
    <row r="324">
      <c r="C324" s="28"/>
      <c r="D324" s="28"/>
      <c r="F324" s="28"/>
      <c r="G324" s="28"/>
      <c r="H324" s="28"/>
      <c r="I324" s="106"/>
      <c r="J324" s="107"/>
      <c r="K324" s="28"/>
    </row>
    <row r="325">
      <c r="C325" s="28"/>
      <c r="D325" s="28"/>
      <c r="F325" s="28"/>
      <c r="G325" s="28"/>
      <c r="H325" s="28"/>
      <c r="I325" s="106"/>
      <c r="J325" s="107"/>
      <c r="K325" s="28"/>
    </row>
    <row r="326">
      <c r="C326" s="28"/>
      <c r="D326" s="28"/>
      <c r="F326" s="28"/>
      <c r="G326" s="28"/>
      <c r="H326" s="28"/>
      <c r="I326" s="106"/>
      <c r="J326" s="107"/>
      <c r="K326" s="28"/>
    </row>
    <row r="327">
      <c r="C327" s="28"/>
      <c r="D327" s="28"/>
      <c r="F327" s="28"/>
      <c r="G327" s="28"/>
      <c r="H327" s="28"/>
      <c r="I327" s="106"/>
      <c r="J327" s="107"/>
      <c r="K327" s="28"/>
    </row>
    <row r="328">
      <c r="C328" s="28"/>
      <c r="D328" s="28"/>
      <c r="F328" s="28"/>
      <c r="G328" s="28"/>
      <c r="H328" s="28"/>
      <c r="I328" s="106"/>
      <c r="J328" s="107"/>
      <c r="K328" s="28"/>
    </row>
    <row r="329">
      <c r="C329" s="28"/>
      <c r="D329" s="28"/>
      <c r="F329" s="28"/>
      <c r="G329" s="28"/>
      <c r="H329" s="28"/>
      <c r="I329" s="106"/>
      <c r="J329" s="107"/>
      <c r="K329" s="28"/>
    </row>
    <row r="330">
      <c r="C330" s="28"/>
      <c r="D330" s="28"/>
      <c r="F330" s="28"/>
      <c r="G330" s="28"/>
      <c r="H330" s="28"/>
      <c r="I330" s="106"/>
      <c r="J330" s="107"/>
      <c r="K330" s="28"/>
    </row>
    <row r="331">
      <c r="C331" s="28"/>
      <c r="D331" s="28"/>
      <c r="F331" s="28"/>
      <c r="G331" s="28"/>
      <c r="H331" s="28"/>
      <c r="I331" s="106"/>
      <c r="J331" s="107"/>
      <c r="K331" s="28"/>
    </row>
    <row r="332">
      <c r="C332" s="28"/>
      <c r="D332" s="28"/>
      <c r="F332" s="28"/>
      <c r="G332" s="28"/>
      <c r="H332" s="28"/>
      <c r="I332" s="106"/>
      <c r="J332" s="107"/>
      <c r="K332" s="28"/>
    </row>
    <row r="333">
      <c r="C333" s="28"/>
      <c r="D333" s="28"/>
      <c r="F333" s="28"/>
      <c r="G333" s="28"/>
      <c r="H333" s="28"/>
      <c r="I333" s="106"/>
      <c r="J333" s="107"/>
      <c r="K333" s="28"/>
    </row>
    <row r="334">
      <c r="C334" s="28"/>
      <c r="D334" s="28"/>
      <c r="F334" s="28"/>
      <c r="G334" s="28"/>
      <c r="H334" s="28"/>
      <c r="I334" s="106"/>
      <c r="J334" s="107"/>
      <c r="K334" s="28"/>
    </row>
    <row r="335">
      <c r="C335" s="28"/>
      <c r="D335" s="28"/>
      <c r="F335" s="28"/>
      <c r="G335" s="28"/>
      <c r="H335" s="28"/>
      <c r="I335" s="106"/>
      <c r="J335" s="107"/>
      <c r="K335" s="28"/>
    </row>
    <row r="336">
      <c r="C336" s="28"/>
      <c r="D336" s="28"/>
      <c r="F336" s="28"/>
      <c r="G336" s="28"/>
      <c r="H336" s="28"/>
      <c r="I336" s="106"/>
      <c r="J336" s="107"/>
      <c r="K336" s="28"/>
    </row>
    <row r="337">
      <c r="C337" s="28"/>
      <c r="D337" s="28"/>
      <c r="F337" s="28"/>
      <c r="G337" s="28"/>
      <c r="H337" s="28"/>
      <c r="I337" s="106"/>
      <c r="J337" s="107"/>
      <c r="K337" s="28"/>
    </row>
    <row r="338">
      <c r="C338" s="28"/>
      <c r="D338" s="28"/>
      <c r="F338" s="28"/>
      <c r="G338" s="28"/>
      <c r="H338" s="28"/>
      <c r="I338" s="106"/>
      <c r="J338" s="107"/>
      <c r="K338" s="28"/>
    </row>
    <row r="339">
      <c r="C339" s="28"/>
      <c r="D339" s="28"/>
      <c r="F339" s="28"/>
      <c r="G339" s="28"/>
      <c r="H339" s="28"/>
      <c r="I339" s="106"/>
      <c r="J339" s="107"/>
      <c r="K339" s="28"/>
    </row>
    <row r="340">
      <c r="C340" s="28"/>
      <c r="D340" s="28"/>
      <c r="F340" s="28"/>
      <c r="G340" s="28"/>
      <c r="H340" s="28"/>
      <c r="I340" s="106"/>
      <c r="J340" s="107"/>
      <c r="K340" s="28"/>
    </row>
    <row r="341">
      <c r="C341" s="28"/>
      <c r="D341" s="28"/>
      <c r="F341" s="28"/>
      <c r="G341" s="28"/>
      <c r="H341" s="28"/>
      <c r="I341" s="106"/>
      <c r="J341" s="107"/>
      <c r="K341" s="28"/>
    </row>
    <row r="342">
      <c r="C342" s="28"/>
      <c r="D342" s="28"/>
      <c r="F342" s="28"/>
      <c r="G342" s="28"/>
      <c r="H342" s="28"/>
      <c r="I342" s="106"/>
      <c r="J342" s="107"/>
      <c r="K342" s="28"/>
    </row>
    <row r="343">
      <c r="C343" s="28"/>
      <c r="D343" s="28"/>
      <c r="F343" s="28"/>
      <c r="G343" s="28"/>
      <c r="H343" s="28"/>
      <c r="I343" s="106"/>
      <c r="J343" s="107"/>
      <c r="K343" s="28"/>
    </row>
    <row r="344">
      <c r="C344" s="28"/>
      <c r="D344" s="28"/>
      <c r="F344" s="28"/>
      <c r="G344" s="28"/>
      <c r="H344" s="28"/>
      <c r="I344" s="106"/>
      <c r="J344" s="107"/>
      <c r="K344" s="28"/>
    </row>
    <row r="345">
      <c r="C345" s="28"/>
      <c r="D345" s="28"/>
      <c r="F345" s="28"/>
      <c r="G345" s="28"/>
      <c r="H345" s="28"/>
      <c r="I345" s="106"/>
      <c r="J345" s="107"/>
      <c r="K345" s="28"/>
    </row>
    <row r="346">
      <c r="C346" s="28"/>
      <c r="D346" s="28"/>
      <c r="F346" s="28"/>
      <c r="G346" s="28"/>
      <c r="H346" s="28"/>
      <c r="I346" s="106"/>
      <c r="J346" s="107"/>
      <c r="K346" s="28"/>
    </row>
    <row r="347">
      <c r="C347" s="28"/>
      <c r="D347" s="28"/>
      <c r="F347" s="28"/>
      <c r="G347" s="28"/>
      <c r="H347" s="28"/>
      <c r="I347" s="106"/>
      <c r="J347" s="107"/>
      <c r="K347" s="28"/>
    </row>
    <row r="348">
      <c r="C348" s="28"/>
      <c r="D348" s="28"/>
      <c r="F348" s="28"/>
      <c r="G348" s="28"/>
      <c r="H348" s="28"/>
      <c r="I348" s="106"/>
      <c r="J348" s="107"/>
      <c r="K348" s="28"/>
    </row>
    <row r="349">
      <c r="C349" s="28"/>
      <c r="D349" s="28"/>
      <c r="F349" s="28"/>
      <c r="G349" s="28"/>
      <c r="H349" s="28"/>
      <c r="I349" s="106"/>
      <c r="J349" s="107"/>
      <c r="K349" s="28"/>
    </row>
    <row r="350">
      <c r="C350" s="28"/>
      <c r="D350" s="28"/>
      <c r="F350" s="28"/>
      <c r="G350" s="28"/>
      <c r="H350" s="28"/>
      <c r="I350" s="106"/>
      <c r="J350" s="107"/>
      <c r="K350" s="28"/>
    </row>
    <row r="351">
      <c r="C351" s="28"/>
      <c r="D351" s="28"/>
      <c r="F351" s="28"/>
      <c r="G351" s="28"/>
      <c r="H351" s="28"/>
      <c r="I351" s="106"/>
      <c r="J351" s="107"/>
      <c r="K351" s="28"/>
    </row>
    <row r="352">
      <c r="C352" s="28"/>
      <c r="D352" s="28"/>
      <c r="F352" s="28"/>
      <c r="G352" s="28"/>
      <c r="H352" s="28"/>
      <c r="I352" s="106"/>
      <c r="J352" s="107"/>
      <c r="K352" s="28"/>
    </row>
    <row r="353">
      <c r="C353" s="28"/>
      <c r="D353" s="28"/>
      <c r="F353" s="28"/>
      <c r="G353" s="28"/>
      <c r="H353" s="28"/>
      <c r="I353" s="106"/>
      <c r="J353" s="107"/>
      <c r="K353" s="28"/>
    </row>
    <row r="354">
      <c r="C354" s="28"/>
      <c r="D354" s="28"/>
      <c r="F354" s="28"/>
      <c r="G354" s="28"/>
      <c r="H354" s="28"/>
      <c r="I354" s="106"/>
      <c r="J354" s="107"/>
      <c r="K354" s="28"/>
    </row>
    <row r="355">
      <c r="C355" s="28"/>
      <c r="D355" s="28"/>
      <c r="F355" s="28"/>
      <c r="G355" s="28"/>
      <c r="H355" s="28"/>
      <c r="I355" s="106"/>
      <c r="J355" s="107"/>
      <c r="K355" s="28"/>
    </row>
    <row r="356">
      <c r="C356" s="28"/>
      <c r="D356" s="28"/>
      <c r="F356" s="28"/>
      <c r="G356" s="28"/>
      <c r="H356" s="28"/>
      <c r="I356" s="106"/>
      <c r="J356" s="107"/>
      <c r="K356" s="28"/>
    </row>
    <row r="357">
      <c r="C357" s="28"/>
      <c r="D357" s="28"/>
      <c r="F357" s="28"/>
      <c r="G357" s="28"/>
      <c r="H357" s="28"/>
      <c r="I357" s="106"/>
      <c r="J357" s="107"/>
      <c r="K357" s="28"/>
    </row>
    <row r="358">
      <c r="C358" s="28"/>
      <c r="D358" s="28"/>
      <c r="F358" s="28"/>
      <c r="G358" s="28"/>
      <c r="H358" s="28"/>
      <c r="I358" s="106"/>
      <c r="J358" s="107"/>
      <c r="K358" s="28"/>
    </row>
    <row r="359">
      <c r="C359" s="28"/>
      <c r="D359" s="28"/>
      <c r="F359" s="28"/>
      <c r="G359" s="28"/>
      <c r="H359" s="28"/>
      <c r="I359" s="106"/>
      <c r="J359" s="107"/>
      <c r="K359" s="28"/>
    </row>
    <row r="360">
      <c r="C360" s="28"/>
      <c r="D360" s="28"/>
      <c r="F360" s="28"/>
      <c r="G360" s="28"/>
      <c r="H360" s="28"/>
      <c r="I360" s="106"/>
      <c r="J360" s="107"/>
      <c r="K360" s="28"/>
    </row>
    <row r="361">
      <c r="C361" s="28"/>
      <c r="D361" s="28"/>
      <c r="F361" s="28"/>
      <c r="G361" s="28"/>
      <c r="H361" s="28"/>
      <c r="I361" s="106"/>
      <c r="J361" s="107"/>
      <c r="K361" s="28"/>
    </row>
    <row r="362">
      <c r="C362" s="28"/>
      <c r="D362" s="28"/>
      <c r="F362" s="28"/>
      <c r="G362" s="28"/>
      <c r="H362" s="28"/>
      <c r="I362" s="106"/>
      <c r="J362" s="107"/>
      <c r="K362" s="28"/>
    </row>
    <row r="363">
      <c r="C363" s="28"/>
      <c r="D363" s="28"/>
      <c r="F363" s="28"/>
      <c r="G363" s="28"/>
      <c r="H363" s="28"/>
      <c r="I363" s="106"/>
      <c r="J363" s="107"/>
      <c r="K363" s="28"/>
    </row>
    <row r="364">
      <c r="C364" s="28"/>
      <c r="D364" s="28"/>
      <c r="F364" s="28"/>
      <c r="G364" s="28"/>
      <c r="H364" s="28"/>
      <c r="I364" s="106"/>
      <c r="J364" s="107"/>
      <c r="K364" s="28"/>
    </row>
    <row r="365">
      <c r="C365" s="28"/>
      <c r="D365" s="28"/>
      <c r="F365" s="28"/>
      <c r="G365" s="28"/>
      <c r="H365" s="28"/>
      <c r="I365" s="106"/>
      <c r="J365" s="107"/>
      <c r="K365" s="28"/>
    </row>
    <row r="366">
      <c r="C366" s="28"/>
      <c r="D366" s="28"/>
      <c r="F366" s="28"/>
      <c r="G366" s="28"/>
      <c r="H366" s="28"/>
      <c r="I366" s="106"/>
      <c r="J366" s="107"/>
      <c r="K366" s="28"/>
    </row>
    <row r="367">
      <c r="C367" s="28"/>
      <c r="D367" s="28"/>
      <c r="F367" s="28"/>
      <c r="G367" s="28"/>
      <c r="H367" s="28"/>
      <c r="I367" s="106"/>
      <c r="J367" s="107"/>
      <c r="K367" s="28"/>
    </row>
    <row r="368">
      <c r="C368" s="28"/>
      <c r="D368" s="28"/>
      <c r="F368" s="28"/>
      <c r="G368" s="28"/>
      <c r="H368" s="28"/>
      <c r="I368" s="106"/>
      <c r="J368" s="107"/>
      <c r="K368" s="28"/>
    </row>
    <row r="369">
      <c r="C369" s="28"/>
      <c r="D369" s="28"/>
      <c r="F369" s="28"/>
      <c r="G369" s="28"/>
      <c r="H369" s="28"/>
      <c r="I369" s="106"/>
      <c r="J369" s="107"/>
      <c r="K369" s="28"/>
    </row>
    <row r="370">
      <c r="C370" s="28"/>
      <c r="D370" s="28"/>
      <c r="F370" s="28"/>
      <c r="G370" s="28"/>
      <c r="H370" s="28"/>
      <c r="I370" s="106"/>
      <c r="J370" s="107"/>
      <c r="K370" s="28"/>
    </row>
    <row r="371">
      <c r="C371" s="28"/>
      <c r="D371" s="28"/>
      <c r="F371" s="28"/>
      <c r="G371" s="28"/>
      <c r="H371" s="28"/>
      <c r="I371" s="106"/>
      <c r="J371" s="107"/>
      <c r="K371" s="28"/>
    </row>
    <row r="372">
      <c r="C372" s="28"/>
      <c r="D372" s="28"/>
      <c r="F372" s="28"/>
      <c r="G372" s="28"/>
      <c r="H372" s="28"/>
      <c r="I372" s="106"/>
      <c r="J372" s="107"/>
      <c r="K372" s="28"/>
    </row>
    <row r="373">
      <c r="C373" s="28"/>
      <c r="D373" s="28"/>
      <c r="F373" s="28"/>
      <c r="G373" s="28"/>
      <c r="H373" s="28"/>
      <c r="I373" s="106"/>
      <c r="J373" s="107"/>
      <c r="K373" s="28"/>
    </row>
    <row r="374">
      <c r="C374" s="28"/>
      <c r="D374" s="28"/>
      <c r="F374" s="28"/>
      <c r="G374" s="28"/>
      <c r="H374" s="28"/>
      <c r="I374" s="106"/>
      <c r="J374" s="107"/>
      <c r="K374" s="28"/>
    </row>
    <row r="375">
      <c r="C375" s="28"/>
      <c r="D375" s="28"/>
      <c r="F375" s="28"/>
      <c r="G375" s="28"/>
      <c r="H375" s="28"/>
      <c r="I375" s="106"/>
      <c r="J375" s="107"/>
      <c r="K375" s="28"/>
    </row>
    <row r="376">
      <c r="C376" s="28"/>
      <c r="D376" s="28"/>
      <c r="F376" s="28"/>
      <c r="G376" s="28"/>
      <c r="H376" s="28"/>
      <c r="I376" s="106"/>
      <c r="J376" s="107"/>
      <c r="K376" s="28"/>
    </row>
    <row r="377">
      <c r="C377" s="28"/>
      <c r="D377" s="28"/>
      <c r="F377" s="28"/>
      <c r="G377" s="28"/>
      <c r="H377" s="28"/>
      <c r="I377" s="106"/>
      <c r="J377" s="107"/>
      <c r="K377" s="28"/>
    </row>
    <row r="378">
      <c r="C378" s="28"/>
      <c r="D378" s="28"/>
      <c r="F378" s="28"/>
      <c r="G378" s="28"/>
      <c r="H378" s="28"/>
      <c r="I378" s="106"/>
      <c r="J378" s="107"/>
      <c r="K378" s="28"/>
    </row>
    <row r="379">
      <c r="C379" s="28"/>
      <c r="D379" s="28"/>
      <c r="F379" s="28"/>
      <c r="G379" s="28"/>
      <c r="H379" s="28"/>
      <c r="I379" s="106"/>
      <c r="J379" s="107"/>
      <c r="K379" s="28"/>
    </row>
    <row r="380">
      <c r="C380" s="28"/>
      <c r="D380" s="28"/>
      <c r="F380" s="28"/>
      <c r="G380" s="28"/>
      <c r="H380" s="28"/>
      <c r="I380" s="106"/>
      <c r="J380" s="107"/>
      <c r="K380" s="28"/>
    </row>
    <row r="381">
      <c r="C381" s="28"/>
      <c r="D381" s="28"/>
      <c r="F381" s="28"/>
      <c r="G381" s="28"/>
      <c r="H381" s="28"/>
      <c r="I381" s="106"/>
      <c r="J381" s="107"/>
      <c r="K381" s="28"/>
    </row>
    <row r="382">
      <c r="C382" s="28"/>
      <c r="D382" s="28"/>
      <c r="F382" s="28"/>
      <c r="G382" s="28"/>
      <c r="H382" s="28"/>
      <c r="I382" s="106"/>
      <c r="J382" s="107"/>
      <c r="K382" s="28"/>
    </row>
    <row r="383">
      <c r="C383" s="28"/>
      <c r="D383" s="28"/>
      <c r="F383" s="28"/>
      <c r="G383" s="28"/>
      <c r="H383" s="28"/>
      <c r="I383" s="106"/>
      <c r="J383" s="107"/>
      <c r="K383" s="28"/>
    </row>
    <row r="384">
      <c r="C384" s="28"/>
      <c r="D384" s="28"/>
      <c r="F384" s="28"/>
      <c r="G384" s="28"/>
      <c r="H384" s="28"/>
      <c r="I384" s="106"/>
      <c r="J384" s="107"/>
      <c r="K384" s="28"/>
    </row>
    <row r="385">
      <c r="C385" s="28"/>
      <c r="D385" s="28"/>
      <c r="F385" s="28"/>
      <c r="G385" s="28"/>
      <c r="H385" s="28"/>
      <c r="I385" s="106"/>
      <c r="J385" s="107"/>
      <c r="K385" s="28"/>
    </row>
    <row r="386">
      <c r="C386" s="28"/>
      <c r="D386" s="28"/>
      <c r="F386" s="28"/>
      <c r="G386" s="28"/>
      <c r="H386" s="28"/>
      <c r="I386" s="106"/>
      <c r="J386" s="107"/>
      <c r="K386" s="28"/>
    </row>
    <row r="387">
      <c r="C387" s="28"/>
      <c r="D387" s="28"/>
      <c r="F387" s="28"/>
      <c r="G387" s="28"/>
      <c r="H387" s="28"/>
      <c r="I387" s="106"/>
      <c r="J387" s="107"/>
      <c r="K387" s="28"/>
    </row>
    <row r="388">
      <c r="C388" s="28"/>
      <c r="D388" s="28"/>
      <c r="F388" s="28"/>
      <c r="G388" s="28"/>
      <c r="H388" s="28"/>
      <c r="I388" s="106"/>
      <c r="J388" s="107"/>
      <c r="K388" s="28"/>
    </row>
    <row r="389">
      <c r="C389" s="28"/>
      <c r="D389" s="28"/>
      <c r="F389" s="28"/>
      <c r="G389" s="28"/>
      <c r="H389" s="28"/>
      <c r="I389" s="106"/>
      <c r="J389" s="107"/>
      <c r="K389" s="28"/>
    </row>
    <row r="390">
      <c r="C390" s="28"/>
      <c r="D390" s="28"/>
      <c r="F390" s="28"/>
      <c r="G390" s="28"/>
      <c r="H390" s="28"/>
      <c r="I390" s="106"/>
      <c r="J390" s="107"/>
      <c r="K390" s="28"/>
    </row>
    <row r="391">
      <c r="C391" s="28"/>
      <c r="D391" s="28"/>
      <c r="F391" s="28"/>
      <c r="G391" s="28"/>
      <c r="H391" s="28"/>
      <c r="I391" s="106"/>
      <c r="J391" s="107"/>
      <c r="K391" s="28"/>
    </row>
    <row r="392">
      <c r="C392" s="28"/>
      <c r="D392" s="28"/>
      <c r="F392" s="28"/>
      <c r="G392" s="28"/>
      <c r="H392" s="28"/>
      <c r="I392" s="106"/>
      <c r="J392" s="107"/>
      <c r="K392" s="28"/>
    </row>
    <row r="393">
      <c r="C393" s="28"/>
      <c r="D393" s="28"/>
      <c r="F393" s="28"/>
      <c r="G393" s="28"/>
      <c r="H393" s="28"/>
      <c r="I393" s="106"/>
      <c r="J393" s="107"/>
      <c r="K393" s="28"/>
    </row>
    <row r="394">
      <c r="C394" s="28"/>
      <c r="D394" s="28"/>
      <c r="F394" s="28"/>
      <c r="G394" s="28"/>
      <c r="H394" s="28"/>
      <c r="I394" s="106"/>
      <c r="J394" s="107"/>
      <c r="K394" s="28"/>
    </row>
    <row r="395">
      <c r="C395" s="28"/>
      <c r="D395" s="28"/>
      <c r="F395" s="28"/>
      <c r="G395" s="28"/>
      <c r="H395" s="28"/>
      <c r="I395" s="106"/>
      <c r="J395" s="107"/>
      <c r="K395" s="28"/>
    </row>
    <row r="396">
      <c r="C396" s="28"/>
      <c r="D396" s="28"/>
      <c r="F396" s="28"/>
      <c r="G396" s="28"/>
      <c r="H396" s="28"/>
      <c r="I396" s="106"/>
      <c r="J396" s="107"/>
      <c r="K396" s="28"/>
    </row>
    <row r="397">
      <c r="C397" s="28"/>
      <c r="D397" s="28"/>
      <c r="F397" s="28"/>
      <c r="G397" s="28"/>
      <c r="H397" s="28"/>
      <c r="I397" s="106"/>
      <c r="J397" s="107"/>
      <c r="K397" s="28"/>
    </row>
    <row r="398">
      <c r="C398" s="28"/>
      <c r="D398" s="28"/>
      <c r="F398" s="28"/>
      <c r="G398" s="28"/>
      <c r="H398" s="28"/>
      <c r="I398" s="106"/>
      <c r="J398" s="107"/>
      <c r="K398" s="28"/>
    </row>
    <row r="399">
      <c r="C399" s="28"/>
      <c r="D399" s="28"/>
      <c r="F399" s="28"/>
      <c r="G399" s="28"/>
      <c r="H399" s="28"/>
      <c r="I399" s="106"/>
      <c r="J399" s="107"/>
      <c r="K399" s="28"/>
    </row>
    <row r="400">
      <c r="C400" s="28"/>
      <c r="D400" s="28"/>
      <c r="F400" s="28"/>
      <c r="G400" s="28"/>
      <c r="H400" s="28"/>
      <c r="I400" s="106"/>
      <c r="J400" s="107"/>
      <c r="K400" s="28"/>
    </row>
    <row r="401">
      <c r="C401" s="28"/>
      <c r="D401" s="28"/>
      <c r="F401" s="28"/>
      <c r="G401" s="28"/>
      <c r="H401" s="28"/>
      <c r="I401" s="106"/>
      <c r="J401" s="107"/>
      <c r="K401" s="28"/>
    </row>
    <row r="402">
      <c r="C402" s="28"/>
      <c r="D402" s="28"/>
      <c r="F402" s="28"/>
      <c r="G402" s="28"/>
      <c r="H402" s="28"/>
      <c r="I402" s="106"/>
      <c r="J402" s="107"/>
      <c r="K402" s="28"/>
    </row>
    <row r="403">
      <c r="C403" s="28"/>
      <c r="D403" s="28"/>
      <c r="F403" s="28"/>
      <c r="G403" s="28"/>
      <c r="H403" s="28"/>
      <c r="I403" s="106"/>
      <c r="J403" s="107"/>
      <c r="K403" s="28"/>
    </row>
    <row r="404">
      <c r="C404" s="28"/>
      <c r="D404" s="28"/>
      <c r="F404" s="28"/>
      <c r="G404" s="28"/>
      <c r="H404" s="28"/>
      <c r="I404" s="106"/>
      <c r="J404" s="107"/>
      <c r="K404" s="28"/>
    </row>
    <row r="405">
      <c r="C405" s="28"/>
      <c r="D405" s="28"/>
      <c r="F405" s="28"/>
      <c r="G405" s="28"/>
      <c r="H405" s="28"/>
      <c r="I405" s="106"/>
      <c r="J405" s="107"/>
      <c r="K405" s="28"/>
    </row>
    <row r="406">
      <c r="C406" s="28"/>
      <c r="D406" s="28"/>
      <c r="F406" s="28"/>
      <c r="G406" s="28"/>
      <c r="H406" s="28"/>
      <c r="I406" s="106"/>
      <c r="J406" s="107"/>
      <c r="K406" s="28"/>
    </row>
    <row r="407">
      <c r="C407" s="28"/>
      <c r="D407" s="28"/>
      <c r="F407" s="28"/>
      <c r="G407" s="28"/>
      <c r="H407" s="28"/>
      <c r="I407" s="106"/>
      <c r="J407" s="107"/>
      <c r="K407" s="28"/>
    </row>
    <row r="408">
      <c r="C408" s="28"/>
      <c r="D408" s="28"/>
      <c r="F408" s="28"/>
      <c r="G408" s="28"/>
      <c r="H408" s="28"/>
      <c r="I408" s="106"/>
      <c r="J408" s="107"/>
      <c r="K408" s="28"/>
    </row>
    <row r="409">
      <c r="C409" s="28"/>
      <c r="D409" s="28"/>
      <c r="F409" s="28"/>
      <c r="G409" s="28"/>
      <c r="H409" s="28"/>
      <c r="I409" s="106"/>
      <c r="J409" s="107"/>
      <c r="K409" s="28"/>
    </row>
    <row r="410">
      <c r="C410" s="28"/>
      <c r="D410" s="28"/>
      <c r="F410" s="28"/>
      <c r="G410" s="28"/>
      <c r="H410" s="28"/>
      <c r="I410" s="106"/>
      <c r="J410" s="107"/>
      <c r="K410" s="28"/>
    </row>
    <row r="411">
      <c r="C411" s="28"/>
      <c r="D411" s="28"/>
      <c r="F411" s="28"/>
      <c r="G411" s="28"/>
      <c r="H411" s="28"/>
      <c r="I411" s="106"/>
      <c r="J411" s="107"/>
      <c r="K411" s="28"/>
    </row>
    <row r="412">
      <c r="C412" s="28"/>
      <c r="D412" s="28"/>
      <c r="F412" s="28"/>
      <c r="G412" s="28"/>
      <c r="H412" s="28"/>
      <c r="I412" s="106"/>
      <c r="J412" s="107"/>
      <c r="K412" s="28"/>
    </row>
    <row r="413">
      <c r="C413" s="28"/>
      <c r="D413" s="28"/>
      <c r="F413" s="28"/>
      <c r="G413" s="28"/>
      <c r="H413" s="28"/>
      <c r="I413" s="106"/>
      <c r="J413" s="107"/>
      <c r="K413" s="28"/>
    </row>
    <row r="414">
      <c r="C414" s="28"/>
      <c r="D414" s="28"/>
      <c r="F414" s="28"/>
      <c r="G414" s="28"/>
      <c r="H414" s="28"/>
      <c r="I414" s="106"/>
      <c r="J414" s="107"/>
      <c r="K414" s="28"/>
    </row>
    <row r="415">
      <c r="C415" s="28"/>
      <c r="D415" s="28"/>
      <c r="F415" s="28"/>
      <c r="G415" s="28"/>
      <c r="H415" s="28"/>
      <c r="I415" s="106"/>
      <c r="J415" s="107"/>
      <c r="K415" s="28"/>
    </row>
    <row r="416">
      <c r="C416" s="28"/>
      <c r="D416" s="28"/>
      <c r="F416" s="28"/>
      <c r="G416" s="28"/>
      <c r="H416" s="28"/>
      <c r="I416" s="106"/>
      <c r="J416" s="107"/>
      <c r="K416" s="28"/>
    </row>
    <row r="417">
      <c r="C417" s="28"/>
      <c r="D417" s="28"/>
      <c r="F417" s="28"/>
      <c r="G417" s="28"/>
      <c r="H417" s="28"/>
      <c r="I417" s="106"/>
      <c r="J417" s="107"/>
      <c r="K417" s="28"/>
    </row>
    <row r="418">
      <c r="C418" s="28"/>
      <c r="D418" s="28"/>
      <c r="F418" s="28"/>
      <c r="G418" s="28"/>
      <c r="H418" s="28"/>
      <c r="I418" s="106"/>
      <c r="J418" s="107"/>
      <c r="K418" s="28"/>
    </row>
    <row r="419">
      <c r="C419" s="28"/>
      <c r="D419" s="28"/>
      <c r="F419" s="28"/>
      <c r="G419" s="28"/>
      <c r="H419" s="28"/>
      <c r="I419" s="106"/>
      <c r="J419" s="107"/>
      <c r="K419" s="28"/>
    </row>
    <row r="420">
      <c r="C420" s="28"/>
      <c r="D420" s="28"/>
      <c r="F420" s="28"/>
      <c r="G420" s="28"/>
      <c r="H420" s="28"/>
      <c r="I420" s="106"/>
      <c r="J420" s="107"/>
      <c r="K420" s="28"/>
    </row>
    <row r="421">
      <c r="C421" s="28"/>
      <c r="D421" s="28"/>
      <c r="F421" s="28"/>
      <c r="G421" s="28"/>
      <c r="H421" s="28"/>
      <c r="I421" s="106"/>
      <c r="J421" s="107"/>
      <c r="K421" s="28"/>
    </row>
    <row r="422">
      <c r="C422" s="28"/>
      <c r="D422" s="28"/>
      <c r="F422" s="28"/>
      <c r="G422" s="28"/>
      <c r="H422" s="28"/>
      <c r="I422" s="106"/>
      <c r="J422" s="107"/>
      <c r="K422" s="28"/>
    </row>
    <row r="423">
      <c r="C423" s="28"/>
      <c r="D423" s="28"/>
      <c r="F423" s="28"/>
      <c r="G423" s="28"/>
      <c r="H423" s="28"/>
      <c r="I423" s="106"/>
      <c r="J423" s="107"/>
      <c r="K423" s="28"/>
    </row>
    <row r="424">
      <c r="C424" s="28"/>
      <c r="D424" s="28"/>
      <c r="F424" s="28"/>
      <c r="G424" s="28"/>
      <c r="H424" s="28"/>
      <c r="I424" s="106"/>
      <c r="J424" s="107"/>
      <c r="K424" s="28"/>
    </row>
    <row r="425">
      <c r="C425" s="28"/>
      <c r="D425" s="28"/>
      <c r="F425" s="28"/>
      <c r="G425" s="28"/>
      <c r="H425" s="28"/>
      <c r="I425" s="106"/>
      <c r="J425" s="107"/>
      <c r="K425" s="28"/>
    </row>
    <row r="426">
      <c r="C426" s="28"/>
      <c r="D426" s="28"/>
      <c r="F426" s="28"/>
      <c r="G426" s="28"/>
      <c r="H426" s="28"/>
      <c r="I426" s="106"/>
      <c r="J426" s="107"/>
      <c r="K426" s="28"/>
    </row>
    <row r="427">
      <c r="C427" s="28"/>
      <c r="D427" s="28"/>
      <c r="F427" s="28"/>
      <c r="G427" s="28"/>
      <c r="H427" s="28"/>
      <c r="I427" s="106"/>
      <c r="J427" s="107"/>
      <c r="K427" s="28"/>
    </row>
    <row r="428">
      <c r="C428" s="28"/>
      <c r="D428" s="28"/>
      <c r="F428" s="28"/>
      <c r="G428" s="28"/>
      <c r="H428" s="28"/>
      <c r="I428" s="106"/>
      <c r="J428" s="107"/>
      <c r="K428" s="28"/>
    </row>
    <row r="429">
      <c r="C429" s="28"/>
      <c r="D429" s="28"/>
      <c r="F429" s="28"/>
      <c r="G429" s="28"/>
      <c r="H429" s="28"/>
      <c r="I429" s="106"/>
      <c r="J429" s="107"/>
      <c r="K429" s="28"/>
    </row>
    <row r="430">
      <c r="C430" s="28"/>
      <c r="D430" s="28"/>
      <c r="F430" s="28"/>
      <c r="G430" s="28"/>
      <c r="H430" s="28"/>
      <c r="I430" s="106"/>
      <c r="J430" s="107"/>
      <c r="K430" s="28"/>
    </row>
    <row r="431">
      <c r="C431" s="28"/>
      <c r="D431" s="28"/>
      <c r="F431" s="28"/>
      <c r="G431" s="28"/>
      <c r="H431" s="28"/>
      <c r="I431" s="106"/>
      <c r="J431" s="107"/>
      <c r="K431" s="28"/>
    </row>
    <row r="432">
      <c r="C432" s="28"/>
      <c r="D432" s="28"/>
      <c r="F432" s="28"/>
      <c r="G432" s="28"/>
      <c r="H432" s="28"/>
      <c r="I432" s="106"/>
      <c r="J432" s="107"/>
      <c r="K432" s="28"/>
    </row>
    <row r="433">
      <c r="C433" s="28"/>
      <c r="D433" s="28"/>
      <c r="F433" s="28"/>
      <c r="G433" s="28"/>
      <c r="H433" s="28"/>
      <c r="I433" s="106"/>
      <c r="J433" s="107"/>
      <c r="K433" s="28"/>
    </row>
    <row r="434">
      <c r="C434" s="28"/>
      <c r="D434" s="28"/>
      <c r="F434" s="28"/>
      <c r="G434" s="28"/>
      <c r="H434" s="28"/>
      <c r="I434" s="106"/>
      <c r="J434" s="107"/>
      <c r="K434" s="28"/>
    </row>
    <row r="435">
      <c r="C435" s="28"/>
      <c r="D435" s="28"/>
      <c r="F435" s="28"/>
      <c r="G435" s="28"/>
      <c r="H435" s="28"/>
      <c r="I435" s="106"/>
      <c r="J435" s="107"/>
      <c r="K435" s="28"/>
    </row>
    <row r="436">
      <c r="C436" s="28"/>
      <c r="D436" s="28"/>
      <c r="F436" s="28"/>
      <c r="G436" s="28"/>
      <c r="H436" s="28"/>
      <c r="I436" s="106"/>
      <c r="J436" s="107"/>
      <c r="K436" s="28"/>
    </row>
    <row r="437">
      <c r="C437" s="28"/>
      <c r="D437" s="28"/>
      <c r="F437" s="28"/>
      <c r="G437" s="28"/>
      <c r="H437" s="28"/>
      <c r="I437" s="106"/>
      <c r="J437" s="107"/>
      <c r="K437" s="28"/>
    </row>
    <row r="438">
      <c r="C438" s="28"/>
      <c r="D438" s="28"/>
      <c r="F438" s="28"/>
      <c r="G438" s="28"/>
      <c r="H438" s="28"/>
      <c r="I438" s="106"/>
      <c r="J438" s="107"/>
      <c r="K438" s="28"/>
    </row>
    <row r="439">
      <c r="C439" s="28"/>
      <c r="D439" s="28"/>
      <c r="F439" s="28"/>
      <c r="G439" s="28"/>
      <c r="H439" s="28"/>
      <c r="I439" s="106"/>
      <c r="J439" s="107"/>
      <c r="K439" s="28"/>
    </row>
    <row r="440">
      <c r="C440" s="28"/>
      <c r="D440" s="28"/>
      <c r="F440" s="28"/>
      <c r="G440" s="28"/>
      <c r="H440" s="28"/>
      <c r="I440" s="106"/>
      <c r="J440" s="107"/>
      <c r="K440" s="28"/>
    </row>
    <row r="441">
      <c r="C441" s="28"/>
      <c r="D441" s="28"/>
      <c r="F441" s="28"/>
      <c r="G441" s="28"/>
      <c r="H441" s="28"/>
      <c r="I441" s="106"/>
      <c r="J441" s="107"/>
      <c r="K441" s="28"/>
    </row>
    <row r="442">
      <c r="C442" s="28"/>
      <c r="D442" s="28"/>
      <c r="F442" s="28"/>
      <c r="G442" s="28"/>
      <c r="H442" s="28"/>
      <c r="I442" s="106"/>
      <c r="J442" s="107"/>
      <c r="K442" s="28"/>
    </row>
    <row r="443">
      <c r="C443" s="28"/>
      <c r="D443" s="28"/>
      <c r="F443" s="28"/>
      <c r="G443" s="28"/>
      <c r="H443" s="28"/>
      <c r="I443" s="106"/>
      <c r="J443" s="107"/>
      <c r="K443" s="28"/>
    </row>
    <row r="444">
      <c r="C444" s="28"/>
      <c r="D444" s="28"/>
      <c r="F444" s="28"/>
      <c r="G444" s="28"/>
      <c r="H444" s="28"/>
      <c r="I444" s="106"/>
      <c r="J444" s="107"/>
      <c r="K444" s="28"/>
    </row>
    <row r="445">
      <c r="C445" s="28"/>
      <c r="D445" s="28"/>
      <c r="F445" s="28"/>
      <c r="G445" s="28"/>
      <c r="H445" s="28"/>
      <c r="I445" s="106"/>
      <c r="J445" s="107"/>
      <c r="K445" s="28"/>
    </row>
    <row r="446">
      <c r="C446" s="28"/>
      <c r="D446" s="28"/>
      <c r="F446" s="28"/>
      <c r="G446" s="28"/>
      <c r="H446" s="28"/>
      <c r="I446" s="106"/>
      <c r="J446" s="107"/>
      <c r="K446" s="28"/>
    </row>
    <row r="447">
      <c r="C447" s="28"/>
      <c r="D447" s="28"/>
      <c r="F447" s="28"/>
      <c r="G447" s="28"/>
      <c r="H447" s="28"/>
      <c r="I447" s="106"/>
      <c r="J447" s="107"/>
      <c r="K447" s="28"/>
    </row>
    <row r="448">
      <c r="C448" s="28"/>
      <c r="D448" s="28"/>
      <c r="F448" s="28"/>
      <c r="G448" s="28"/>
      <c r="H448" s="28"/>
      <c r="I448" s="106"/>
      <c r="J448" s="107"/>
      <c r="K448" s="28"/>
    </row>
    <row r="449">
      <c r="C449" s="28"/>
      <c r="D449" s="28"/>
      <c r="F449" s="28"/>
      <c r="G449" s="28"/>
      <c r="H449" s="28"/>
      <c r="I449" s="106"/>
      <c r="J449" s="107"/>
      <c r="K449" s="28"/>
    </row>
    <row r="450">
      <c r="C450" s="28"/>
      <c r="D450" s="28"/>
      <c r="F450" s="28"/>
      <c r="G450" s="28"/>
      <c r="H450" s="28"/>
      <c r="I450" s="106"/>
      <c r="J450" s="107"/>
      <c r="K450" s="28"/>
    </row>
    <row r="451">
      <c r="C451" s="28"/>
      <c r="D451" s="28"/>
      <c r="F451" s="28"/>
      <c r="G451" s="28"/>
      <c r="H451" s="28"/>
      <c r="I451" s="106"/>
      <c r="J451" s="107"/>
      <c r="K451" s="28"/>
    </row>
    <row r="452">
      <c r="C452" s="28"/>
      <c r="D452" s="28"/>
      <c r="F452" s="28"/>
      <c r="G452" s="28"/>
      <c r="H452" s="28"/>
      <c r="I452" s="106"/>
      <c r="J452" s="107"/>
      <c r="K452" s="28"/>
    </row>
    <row r="453">
      <c r="C453" s="28"/>
      <c r="D453" s="28"/>
      <c r="F453" s="28"/>
      <c r="G453" s="28"/>
      <c r="H453" s="28"/>
      <c r="I453" s="106"/>
      <c r="J453" s="107"/>
      <c r="K453" s="28"/>
    </row>
    <row r="454">
      <c r="C454" s="28"/>
      <c r="D454" s="28"/>
      <c r="F454" s="28"/>
      <c r="G454" s="28"/>
      <c r="H454" s="28"/>
      <c r="I454" s="106"/>
      <c r="J454" s="107"/>
      <c r="K454" s="28"/>
    </row>
    <row r="455">
      <c r="C455" s="28"/>
      <c r="D455" s="28"/>
      <c r="F455" s="28"/>
      <c r="G455" s="28"/>
      <c r="H455" s="28"/>
      <c r="I455" s="106"/>
      <c r="J455" s="107"/>
      <c r="K455" s="28"/>
    </row>
    <row r="456">
      <c r="C456" s="28"/>
      <c r="D456" s="28"/>
      <c r="F456" s="28"/>
      <c r="G456" s="28"/>
      <c r="H456" s="28"/>
      <c r="I456" s="106"/>
      <c r="J456" s="107"/>
      <c r="K456" s="28"/>
    </row>
    <row r="457">
      <c r="C457" s="28"/>
      <c r="D457" s="28"/>
      <c r="F457" s="28"/>
      <c r="G457" s="28"/>
      <c r="H457" s="28"/>
      <c r="I457" s="106"/>
      <c r="J457" s="107"/>
      <c r="K457" s="28"/>
    </row>
    <row r="458">
      <c r="C458" s="28"/>
      <c r="D458" s="28"/>
      <c r="F458" s="28"/>
      <c r="G458" s="28"/>
      <c r="H458" s="28"/>
      <c r="I458" s="106"/>
      <c r="J458" s="107"/>
      <c r="K458" s="28"/>
    </row>
    <row r="459">
      <c r="C459" s="28"/>
      <c r="D459" s="28"/>
      <c r="F459" s="28"/>
      <c r="G459" s="28"/>
      <c r="H459" s="28"/>
      <c r="I459" s="106"/>
      <c r="J459" s="107"/>
      <c r="K459" s="28"/>
    </row>
    <row r="460">
      <c r="C460" s="28"/>
      <c r="D460" s="28"/>
      <c r="F460" s="28"/>
      <c r="G460" s="28"/>
      <c r="H460" s="28"/>
      <c r="I460" s="106"/>
      <c r="J460" s="107"/>
      <c r="K460" s="28"/>
    </row>
    <row r="461">
      <c r="C461" s="28"/>
      <c r="D461" s="28"/>
      <c r="F461" s="28"/>
      <c r="G461" s="28"/>
      <c r="H461" s="28"/>
      <c r="I461" s="106"/>
      <c r="J461" s="107"/>
      <c r="K461" s="28"/>
    </row>
    <row r="462">
      <c r="C462" s="28"/>
      <c r="D462" s="28"/>
      <c r="F462" s="28"/>
      <c r="G462" s="28"/>
      <c r="H462" s="28"/>
      <c r="I462" s="106"/>
      <c r="J462" s="107"/>
      <c r="K462" s="28"/>
    </row>
    <row r="463">
      <c r="C463" s="28"/>
      <c r="D463" s="28"/>
      <c r="F463" s="28"/>
      <c r="G463" s="28"/>
      <c r="H463" s="28"/>
      <c r="I463" s="106"/>
      <c r="J463" s="107"/>
      <c r="K463" s="28"/>
    </row>
    <row r="464">
      <c r="C464" s="28"/>
      <c r="D464" s="28"/>
      <c r="F464" s="28"/>
      <c r="G464" s="28"/>
      <c r="H464" s="28"/>
      <c r="I464" s="106"/>
      <c r="J464" s="107"/>
      <c r="K464" s="28"/>
    </row>
    <row r="465">
      <c r="C465" s="28"/>
      <c r="D465" s="28"/>
      <c r="F465" s="28"/>
      <c r="G465" s="28"/>
      <c r="H465" s="28"/>
      <c r="I465" s="106"/>
      <c r="J465" s="107"/>
      <c r="K465" s="28"/>
    </row>
    <row r="466">
      <c r="C466" s="28"/>
      <c r="D466" s="28"/>
      <c r="F466" s="28"/>
      <c r="G466" s="28"/>
      <c r="H466" s="28"/>
      <c r="I466" s="106"/>
      <c r="J466" s="107"/>
      <c r="K466" s="28"/>
    </row>
    <row r="467">
      <c r="C467" s="28"/>
      <c r="D467" s="28"/>
      <c r="F467" s="28"/>
      <c r="G467" s="28"/>
      <c r="H467" s="28"/>
      <c r="I467" s="106"/>
      <c r="J467" s="107"/>
      <c r="K467" s="28"/>
    </row>
    <row r="468">
      <c r="C468" s="28"/>
      <c r="D468" s="28"/>
      <c r="F468" s="28"/>
      <c r="G468" s="28"/>
      <c r="H468" s="28"/>
      <c r="I468" s="106"/>
      <c r="J468" s="107"/>
      <c r="K468" s="28"/>
    </row>
    <row r="469">
      <c r="C469" s="28"/>
      <c r="D469" s="28"/>
      <c r="F469" s="28"/>
      <c r="G469" s="28"/>
      <c r="H469" s="28"/>
      <c r="I469" s="106"/>
      <c r="J469" s="107"/>
      <c r="K469" s="28"/>
    </row>
    <row r="470">
      <c r="C470" s="28"/>
      <c r="D470" s="28"/>
      <c r="F470" s="28"/>
      <c r="G470" s="28"/>
      <c r="H470" s="28"/>
      <c r="I470" s="106"/>
      <c r="J470" s="107"/>
      <c r="K470" s="28"/>
    </row>
    <row r="471">
      <c r="C471" s="28"/>
      <c r="D471" s="28"/>
      <c r="F471" s="28"/>
      <c r="G471" s="28"/>
      <c r="H471" s="28"/>
      <c r="I471" s="106"/>
      <c r="J471" s="107"/>
      <c r="K471" s="28"/>
    </row>
    <row r="472">
      <c r="C472" s="28"/>
      <c r="D472" s="28"/>
      <c r="F472" s="28"/>
      <c r="G472" s="28"/>
      <c r="H472" s="28"/>
      <c r="I472" s="106"/>
      <c r="J472" s="107"/>
      <c r="K472" s="28"/>
    </row>
    <row r="473">
      <c r="C473" s="28"/>
      <c r="D473" s="28"/>
      <c r="F473" s="28"/>
      <c r="G473" s="28"/>
      <c r="H473" s="28"/>
      <c r="I473" s="106"/>
      <c r="J473" s="107"/>
      <c r="K473" s="28"/>
    </row>
    <row r="474">
      <c r="C474" s="28"/>
      <c r="D474" s="28"/>
      <c r="F474" s="28"/>
      <c r="G474" s="28"/>
      <c r="H474" s="28"/>
      <c r="I474" s="106"/>
      <c r="J474" s="107"/>
      <c r="K474" s="28"/>
    </row>
    <row r="475">
      <c r="C475" s="28"/>
      <c r="D475" s="28"/>
      <c r="F475" s="28"/>
      <c r="G475" s="28"/>
      <c r="H475" s="28"/>
      <c r="I475" s="106"/>
      <c r="J475" s="107"/>
      <c r="K475" s="28"/>
    </row>
    <row r="476">
      <c r="C476" s="28"/>
      <c r="D476" s="28"/>
      <c r="F476" s="28"/>
      <c r="G476" s="28"/>
      <c r="H476" s="28"/>
      <c r="I476" s="106"/>
      <c r="J476" s="107"/>
      <c r="K476" s="28"/>
    </row>
    <row r="477">
      <c r="C477" s="28"/>
      <c r="D477" s="28"/>
      <c r="F477" s="28"/>
      <c r="G477" s="28"/>
      <c r="H477" s="28"/>
      <c r="I477" s="106"/>
      <c r="J477" s="107"/>
      <c r="K477" s="28"/>
    </row>
    <row r="478">
      <c r="C478" s="28"/>
      <c r="D478" s="28"/>
      <c r="F478" s="28"/>
      <c r="G478" s="28"/>
      <c r="H478" s="28"/>
      <c r="I478" s="106"/>
      <c r="J478" s="107"/>
      <c r="K478" s="28"/>
    </row>
    <row r="479">
      <c r="C479" s="28"/>
      <c r="D479" s="28"/>
      <c r="F479" s="28"/>
      <c r="G479" s="28"/>
      <c r="H479" s="28"/>
      <c r="I479" s="106"/>
      <c r="J479" s="107"/>
      <c r="K479" s="28"/>
    </row>
    <row r="480">
      <c r="C480" s="28"/>
      <c r="D480" s="28"/>
      <c r="F480" s="28"/>
      <c r="G480" s="28"/>
      <c r="H480" s="28"/>
      <c r="I480" s="106"/>
      <c r="J480" s="107"/>
      <c r="K480" s="28"/>
    </row>
    <row r="481">
      <c r="C481" s="28"/>
      <c r="D481" s="28"/>
      <c r="F481" s="28"/>
      <c r="G481" s="28"/>
      <c r="H481" s="28"/>
      <c r="I481" s="106"/>
      <c r="J481" s="107"/>
      <c r="K481" s="28"/>
    </row>
    <row r="482">
      <c r="C482" s="28"/>
      <c r="D482" s="28"/>
      <c r="F482" s="28"/>
      <c r="G482" s="28"/>
      <c r="H482" s="28"/>
      <c r="I482" s="106"/>
      <c r="J482" s="107"/>
      <c r="K482" s="28"/>
    </row>
    <row r="483">
      <c r="C483" s="28"/>
      <c r="D483" s="28"/>
      <c r="F483" s="28"/>
      <c r="G483" s="28"/>
      <c r="H483" s="28"/>
      <c r="I483" s="106"/>
      <c r="J483" s="107"/>
      <c r="K483" s="28"/>
    </row>
    <row r="484">
      <c r="C484" s="28"/>
      <c r="D484" s="28"/>
      <c r="F484" s="28"/>
      <c r="G484" s="28"/>
      <c r="H484" s="28"/>
      <c r="I484" s="106"/>
      <c r="J484" s="107"/>
      <c r="K484" s="28"/>
    </row>
    <row r="485">
      <c r="C485" s="28"/>
      <c r="D485" s="28"/>
      <c r="F485" s="28"/>
      <c r="G485" s="28"/>
      <c r="H485" s="28"/>
      <c r="I485" s="106"/>
      <c r="J485" s="107"/>
      <c r="K485" s="28"/>
    </row>
    <row r="486">
      <c r="C486" s="28"/>
      <c r="D486" s="28"/>
      <c r="F486" s="28"/>
      <c r="G486" s="28"/>
      <c r="H486" s="28"/>
      <c r="I486" s="106"/>
      <c r="J486" s="107"/>
      <c r="K486" s="28"/>
    </row>
    <row r="487">
      <c r="C487" s="28"/>
      <c r="D487" s="28"/>
      <c r="F487" s="28"/>
      <c r="G487" s="28"/>
      <c r="H487" s="28"/>
      <c r="I487" s="106"/>
      <c r="J487" s="107"/>
      <c r="K487" s="28"/>
    </row>
    <row r="488">
      <c r="C488" s="28"/>
      <c r="D488" s="28"/>
      <c r="F488" s="28"/>
      <c r="G488" s="28"/>
      <c r="H488" s="28"/>
      <c r="I488" s="106"/>
      <c r="J488" s="107"/>
      <c r="K488" s="28"/>
    </row>
    <row r="489">
      <c r="C489" s="28"/>
      <c r="D489" s="28"/>
      <c r="F489" s="28"/>
      <c r="G489" s="28"/>
      <c r="H489" s="28"/>
      <c r="I489" s="106"/>
      <c r="J489" s="107"/>
      <c r="K489" s="28"/>
    </row>
    <row r="490">
      <c r="C490" s="28"/>
      <c r="D490" s="28"/>
      <c r="F490" s="28"/>
      <c r="G490" s="28"/>
      <c r="H490" s="28"/>
      <c r="I490" s="106"/>
      <c r="J490" s="107"/>
      <c r="K490" s="28"/>
    </row>
    <row r="491">
      <c r="C491" s="28"/>
      <c r="D491" s="28"/>
      <c r="F491" s="28"/>
      <c r="G491" s="28"/>
      <c r="H491" s="28"/>
      <c r="I491" s="106"/>
      <c r="J491" s="107"/>
      <c r="K491" s="28"/>
    </row>
    <row r="492">
      <c r="C492" s="28"/>
      <c r="D492" s="28"/>
      <c r="F492" s="28"/>
      <c r="G492" s="28"/>
      <c r="H492" s="28"/>
      <c r="I492" s="106"/>
      <c r="J492" s="107"/>
      <c r="K492" s="28"/>
    </row>
    <row r="493">
      <c r="C493" s="28"/>
      <c r="D493" s="28"/>
      <c r="F493" s="28"/>
      <c r="G493" s="28"/>
      <c r="H493" s="28"/>
      <c r="I493" s="106"/>
      <c r="J493" s="107"/>
      <c r="K493" s="28"/>
    </row>
    <row r="494">
      <c r="C494" s="28"/>
      <c r="D494" s="28"/>
      <c r="F494" s="28"/>
      <c r="G494" s="28"/>
      <c r="H494" s="28"/>
      <c r="I494" s="106"/>
      <c r="J494" s="107"/>
      <c r="K494" s="28"/>
    </row>
    <row r="495">
      <c r="C495" s="28"/>
      <c r="D495" s="28"/>
      <c r="F495" s="28"/>
      <c r="G495" s="28"/>
      <c r="H495" s="28"/>
      <c r="I495" s="106"/>
      <c r="J495" s="107"/>
      <c r="K495" s="28"/>
    </row>
    <row r="496">
      <c r="C496" s="28"/>
      <c r="D496" s="28"/>
      <c r="F496" s="28"/>
      <c r="G496" s="28"/>
      <c r="H496" s="28"/>
      <c r="I496" s="106"/>
      <c r="J496" s="107"/>
      <c r="K496" s="28"/>
    </row>
    <row r="497">
      <c r="C497" s="28"/>
      <c r="D497" s="28"/>
      <c r="F497" s="28"/>
      <c r="G497" s="28"/>
      <c r="H497" s="28"/>
      <c r="I497" s="106"/>
      <c r="J497" s="107"/>
      <c r="K497" s="28"/>
    </row>
    <row r="498">
      <c r="C498" s="28"/>
      <c r="D498" s="28"/>
      <c r="F498" s="28"/>
      <c r="G498" s="28"/>
      <c r="H498" s="28"/>
      <c r="I498" s="106"/>
      <c r="J498" s="107"/>
      <c r="K498" s="28"/>
    </row>
    <row r="499">
      <c r="C499" s="28"/>
      <c r="D499" s="28"/>
      <c r="F499" s="28"/>
      <c r="G499" s="28"/>
      <c r="H499" s="28"/>
      <c r="I499" s="106"/>
      <c r="J499" s="107"/>
      <c r="K499" s="28"/>
    </row>
    <row r="500">
      <c r="C500" s="28"/>
      <c r="D500" s="28"/>
      <c r="F500" s="28"/>
      <c r="G500" s="28"/>
      <c r="H500" s="28"/>
      <c r="I500" s="106"/>
      <c r="J500" s="107"/>
      <c r="K500" s="28"/>
    </row>
    <row r="501">
      <c r="C501" s="28"/>
      <c r="D501" s="28"/>
      <c r="F501" s="28"/>
      <c r="G501" s="28"/>
      <c r="H501" s="28"/>
      <c r="I501" s="106"/>
      <c r="J501" s="107"/>
      <c r="K501" s="28"/>
    </row>
    <row r="502">
      <c r="C502" s="28"/>
      <c r="D502" s="28"/>
      <c r="F502" s="28"/>
      <c r="G502" s="28"/>
      <c r="H502" s="28"/>
      <c r="I502" s="106"/>
      <c r="J502" s="107"/>
      <c r="K502" s="28"/>
    </row>
    <row r="503">
      <c r="C503" s="28"/>
      <c r="D503" s="28"/>
      <c r="F503" s="28"/>
      <c r="G503" s="28"/>
      <c r="H503" s="28"/>
      <c r="I503" s="106"/>
      <c r="J503" s="107"/>
      <c r="K503" s="28"/>
    </row>
    <row r="504">
      <c r="C504" s="28"/>
      <c r="D504" s="28"/>
      <c r="F504" s="28"/>
      <c r="G504" s="28"/>
      <c r="H504" s="28"/>
      <c r="I504" s="106"/>
      <c r="J504" s="107"/>
      <c r="K504" s="28"/>
    </row>
    <row r="505">
      <c r="C505" s="28"/>
      <c r="D505" s="28"/>
      <c r="F505" s="28"/>
      <c r="G505" s="28"/>
      <c r="H505" s="28"/>
      <c r="I505" s="106"/>
      <c r="J505" s="107"/>
      <c r="K505" s="28"/>
    </row>
    <row r="506">
      <c r="C506" s="28"/>
      <c r="D506" s="28"/>
      <c r="F506" s="28"/>
      <c r="G506" s="28"/>
      <c r="H506" s="28"/>
      <c r="I506" s="106"/>
      <c r="J506" s="107"/>
      <c r="K506" s="28"/>
    </row>
    <row r="507">
      <c r="C507" s="28"/>
      <c r="D507" s="28"/>
      <c r="F507" s="28"/>
      <c r="G507" s="28"/>
      <c r="H507" s="28"/>
      <c r="I507" s="106"/>
      <c r="J507" s="107"/>
      <c r="K507" s="28"/>
    </row>
    <row r="508">
      <c r="C508" s="28"/>
      <c r="D508" s="28"/>
      <c r="F508" s="28"/>
      <c r="G508" s="28"/>
      <c r="H508" s="28"/>
      <c r="I508" s="106"/>
      <c r="J508" s="107"/>
      <c r="K508" s="28"/>
    </row>
    <row r="509">
      <c r="C509" s="28"/>
      <c r="D509" s="28"/>
      <c r="F509" s="28"/>
      <c r="G509" s="28"/>
      <c r="H509" s="28"/>
      <c r="I509" s="106"/>
      <c r="J509" s="107"/>
      <c r="K509" s="28"/>
    </row>
    <row r="510">
      <c r="C510" s="28"/>
      <c r="D510" s="28"/>
      <c r="F510" s="28"/>
      <c r="G510" s="28"/>
      <c r="H510" s="28"/>
      <c r="I510" s="106"/>
      <c r="J510" s="107"/>
      <c r="K510" s="28"/>
    </row>
    <row r="511">
      <c r="C511" s="28"/>
      <c r="D511" s="28"/>
      <c r="F511" s="28"/>
      <c r="G511" s="28"/>
      <c r="H511" s="28"/>
      <c r="I511" s="106"/>
      <c r="J511" s="107"/>
      <c r="K511" s="28"/>
    </row>
    <row r="512">
      <c r="C512" s="28"/>
      <c r="D512" s="28"/>
      <c r="F512" s="28"/>
      <c r="G512" s="28"/>
      <c r="H512" s="28"/>
      <c r="I512" s="106"/>
      <c r="J512" s="107"/>
      <c r="K512" s="28"/>
    </row>
    <row r="513">
      <c r="C513" s="28"/>
      <c r="D513" s="28"/>
      <c r="F513" s="28"/>
      <c r="G513" s="28"/>
      <c r="H513" s="28"/>
      <c r="I513" s="106"/>
      <c r="J513" s="107"/>
      <c r="K513" s="28"/>
    </row>
    <row r="514">
      <c r="C514" s="28"/>
      <c r="D514" s="28"/>
      <c r="F514" s="28"/>
      <c r="G514" s="28"/>
      <c r="H514" s="28"/>
      <c r="I514" s="106"/>
      <c r="J514" s="107"/>
      <c r="K514" s="28"/>
    </row>
    <row r="515">
      <c r="C515" s="28"/>
      <c r="D515" s="28"/>
      <c r="F515" s="28"/>
      <c r="G515" s="28"/>
      <c r="H515" s="28"/>
      <c r="I515" s="106"/>
      <c r="J515" s="107"/>
      <c r="K515" s="28"/>
    </row>
    <row r="516">
      <c r="C516" s="28"/>
      <c r="D516" s="28"/>
      <c r="F516" s="28"/>
      <c r="G516" s="28"/>
      <c r="H516" s="28"/>
      <c r="I516" s="106"/>
      <c r="J516" s="107"/>
      <c r="K516" s="28"/>
    </row>
    <row r="517">
      <c r="C517" s="28"/>
      <c r="D517" s="28"/>
      <c r="F517" s="28"/>
      <c r="G517" s="28"/>
      <c r="H517" s="28"/>
      <c r="I517" s="106"/>
      <c r="J517" s="107"/>
      <c r="K517" s="28"/>
    </row>
    <row r="518">
      <c r="C518" s="28"/>
      <c r="D518" s="28"/>
      <c r="F518" s="28"/>
      <c r="G518" s="28"/>
      <c r="H518" s="28"/>
      <c r="I518" s="106"/>
      <c r="J518" s="107"/>
      <c r="K518" s="28"/>
    </row>
    <row r="519">
      <c r="C519" s="28"/>
      <c r="D519" s="28"/>
      <c r="F519" s="28"/>
      <c r="G519" s="28"/>
      <c r="H519" s="28"/>
      <c r="I519" s="106"/>
      <c r="J519" s="107"/>
      <c r="K519" s="28"/>
    </row>
    <row r="520">
      <c r="C520" s="28"/>
      <c r="D520" s="28"/>
      <c r="F520" s="28"/>
      <c r="G520" s="28"/>
      <c r="H520" s="28"/>
      <c r="I520" s="106"/>
      <c r="J520" s="107"/>
      <c r="K520" s="28"/>
    </row>
    <row r="521">
      <c r="C521" s="28"/>
      <c r="D521" s="28"/>
      <c r="F521" s="28"/>
      <c r="G521" s="28"/>
      <c r="H521" s="28"/>
      <c r="I521" s="106"/>
      <c r="J521" s="107"/>
      <c r="K521" s="28"/>
    </row>
    <row r="522">
      <c r="C522" s="28"/>
      <c r="D522" s="28"/>
      <c r="F522" s="28"/>
      <c r="G522" s="28"/>
      <c r="H522" s="28"/>
      <c r="I522" s="106"/>
      <c r="J522" s="107"/>
      <c r="K522" s="28"/>
    </row>
    <row r="523">
      <c r="C523" s="28"/>
      <c r="D523" s="28"/>
      <c r="F523" s="28"/>
      <c r="G523" s="28"/>
      <c r="H523" s="28"/>
      <c r="I523" s="106"/>
      <c r="J523" s="107"/>
      <c r="K523" s="28"/>
    </row>
    <row r="524">
      <c r="C524" s="28"/>
      <c r="D524" s="28"/>
      <c r="F524" s="28"/>
      <c r="G524" s="28"/>
      <c r="H524" s="28"/>
      <c r="I524" s="106"/>
      <c r="J524" s="107"/>
      <c r="K524" s="28"/>
    </row>
    <row r="525">
      <c r="C525" s="28"/>
      <c r="D525" s="28"/>
      <c r="F525" s="28"/>
      <c r="G525" s="28"/>
      <c r="H525" s="28"/>
      <c r="I525" s="106"/>
      <c r="J525" s="107"/>
      <c r="K525" s="28"/>
    </row>
    <row r="526">
      <c r="C526" s="28"/>
      <c r="D526" s="28"/>
      <c r="F526" s="28"/>
      <c r="G526" s="28"/>
      <c r="H526" s="28"/>
      <c r="I526" s="106"/>
      <c r="J526" s="107"/>
      <c r="K526" s="28"/>
    </row>
    <row r="527">
      <c r="C527" s="28"/>
      <c r="D527" s="28"/>
      <c r="F527" s="28"/>
      <c r="G527" s="28"/>
      <c r="H527" s="28"/>
      <c r="I527" s="106"/>
      <c r="J527" s="107"/>
      <c r="K527" s="28"/>
    </row>
    <row r="528">
      <c r="C528" s="28"/>
      <c r="D528" s="28"/>
      <c r="F528" s="28"/>
      <c r="G528" s="28"/>
      <c r="H528" s="28"/>
      <c r="I528" s="106"/>
      <c r="J528" s="107"/>
      <c r="K528" s="28"/>
    </row>
    <row r="529">
      <c r="C529" s="28"/>
      <c r="D529" s="28"/>
      <c r="F529" s="28"/>
      <c r="G529" s="28"/>
      <c r="H529" s="28"/>
      <c r="I529" s="106"/>
      <c r="J529" s="107"/>
      <c r="K529" s="28"/>
    </row>
    <row r="530">
      <c r="C530" s="28"/>
      <c r="D530" s="28"/>
      <c r="F530" s="28"/>
      <c r="G530" s="28"/>
      <c r="H530" s="28"/>
      <c r="I530" s="106"/>
      <c r="J530" s="107"/>
      <c r="K530" s="28"/>
    </row>
    <row r="531">
      <c r="C531" s="28"/>
      <c r="D531" s="28"/>
      <c r="F531" s="28"/>
      <c r="G531" s="28"/>
      <c r="H531" s="28"/>
      <c r="I531" s="106"/>
      <c r="J531" s="107"/>
      <c r="K531" s="28"/>
    </row>
    <row r="532">
      <c r="C532" s="28"/>
      <c r="D532" s="28"/>
      <c r="F532" s="28"/>
      <c r="G532" s="28"/>
      <c r="H532" s="28"/>
      <c r="I532" s="106"/>
      <c r="J532" s="107"/>
      <c r="K532" s="28"/>
    </row>
    <row r="533">
      <c r="C533" s="28"/>
      <c r="D533" s="28"/>
      <c r="F533" s="28"/>
      <c r="G533" s="28"/>
      <c r="H533" s="28"/>
      <c r="I533" s="106"/>
      <c r="J533" s="107"/>
      <c r="K533" s="28"/>
    </row>
    <row r="534">
      <c r="C534" s="28"/>
      <c r="D534" s="28"/>
      <c r="F534" s="28"/>
      <c r="G534" s="28"/>
      <c r="H534" s="28"/>
      <c r="I534" s="106"/>
      <c r="J534" s="107"/>
      <c r="K534" s="28"/>
    </row>
    <row r="535">
      <c r="C535" s="28"/>
      <c r="D535" s="28"/>
      <c r="F535" s="28"/>
      <c r="G535" s="28"/>
      <c r="H535" s="28"/>
      <c r="I535" s="106"/>
      <c r="J535" s="107"/>
      <c r="K535" s="28"/>
    </row>
    <row r="536">
      <c r="C536" s="28"/>
      <c r="D536" s="28"/>
      <c r="F536" s="28"/>
      <c r="G536" s="28"/>
      <c r="H536" s="28"/>
      <c r="I536" s="106"/>
      <c r="J536" s="107"/>
      <c r="K536" s="28"/>
    </row>
    <row r="537">
      <c r="C537" s="28"/>
      <c r="D537" s="28"/>
      <c r="F537" s="28"/>
      <c r="G537" s="28"/>
      <c r="H537" s="28"/>
      <c r="I537" s="106"/>
      <c r="J537" s="107"/>
      <c r="K537" s="28"/>
    </row>
    <row r="538">
      <c r="C538" s="28"/>
      <c r="D538" s="28"/>
      <c r="F538" s="28"/>
      <c r="G538" s="28"/>
      <c r="H538" s="28"/>
      <c r="I538" s="106"/>
      <c r="J538" s="107"/>
      <c r="K538" s="28"/>
    </row>
    <row r="539">
      <c r="C539" s="28"/>
      <c r="D539" s="28"/>
      <c r="F539" s="28"/>
      <c r="G539" s="28"/>
      <c r="H539" s="28"/>
      <c r="I539" s="106"/>
      <c r="J539" s="107"/>
      <c r="K539" s="28"/>
    </row>
    <row r="540">
      <c r="C540" s="28"/>
      <c r="D540" s="28"/>
      <c r="F540" s="28"/>
      <c r="G540" s="28"/>
      <c r="H540" s="28"/>
      <c r="I540" s="106"/>
      <c r="J540" s="107"/>
      <c r="K540" s="28"/>
    </row>
    <row r="541">
      <c r="C541" s="28"/>
      <c r="D541" s="28"/>
      <c r="F541" s="28"/>
      <c r="G541" s="28"/>
      <c r="H541" s="28"/>
      <c r="I541" s="106"/>
      <c r="J541" s="107"/>
      <c r="K541" s="28"/>
    </row>
    <row r="542">
      <c r="C542" s="28"/>
      <c r="D542" s="28"/>
      <c r="F542" s="28"/>
      <c r="G542" s="28"/>
      <c r="H542" s="28"/>
      <c r="I542" s="106"/>
      <c r="J542" s="107"/>
      <c r="K542" s="28"/>
    </row>
    <row r="543">
      <c r="C543" s="28"/>
      <c r="D543" s="28"/>
      <c r="F543" s="28"/>
      <c r="G543" s="28"/>
      <c r="H543" s="28"/>
      <c r="I543" s="106"/>
      <c r="J543" s="107"/>
      <c r="K543" s="28"/>
    </row>
    <row r="544">
      <c r="C544" s="28"/>
      <c r="D544" s="28"/>
      <c r="F544" s="28"/>
      <c r="G544" s="28"/>
      <c r="H544" s="28"/>
      <c r="I544" s="106"/>
      <c r="J544" s="107"/>
      <c r="K544" s="28"/>
    </row>
    <row r="545">
      <c r="C545" s="28"/>
      <c r="D545" s="28"/>
      <c r="F545" s="28"/>
      <c r="G545" s="28"/>
      <c r="H545" s="28"/>
      <c r="I545" s="106"/>
      <c r="J545" s="107"/>
      <c r="K545" s="28"/>
    </row>
    <row r="546">
      <c r="C546" s="28"/>
      <c r="D546" s="28"/>
      <c r="F546" s="28"/>
      <c r="G546" s="28"/>
      <c r="H546" s="28"/>
      <c r="I546" s="106"/>
      <c r="J546" s="107"/>
      <c r="K546" s="28"/>
    </row>
    <row r="547">
      <c r="C547" s="28"/>
      <c r="D547" s="28"/>
      <c r="F547" s="28"/>
      <c r="G547" s="28"/>
      <c r="H547" s="28"/>
      <c r="I547" s="106"/>
      <c r="J547" s="107"/>
      <c r="K547" s="28"/>
    </row>
    <row r="548">
      <c r="C548" s="28"/>
      <c r="D548" s="28"/>
      <c r="F548" s="28"/>
      <c r="G548" s="28"/>
      <c r="H548" s="28"/>
      <c r="I548" s="106"/>
      <c r="J548" s="107"/>
      <c r="K548" s="28"/>
    </row>
    <row r="549">
      <c r="C549" s="28"/>
      <c r="D549" s="28"/>
      <c r="F549" s="28"/>
      <c r="G549" s="28"/>
      <c r="H549" s="28"/>
      <c r="I549" s="106"/>
      <c r="J549" s="107"/>
      <c r="K549" s="28"/>
    </row>
    <row r="550">
      <c r="C550" s="28"/>
      <c r="D550" s="28"/>
      <c r="F550" s="28"/>
      <c r="G550" s="28"/>
      <c r="H550" s="28"/>
      <c r="I550" s="106"/>
      <c r="J550" s="107"/>
      <c r="K550" s="28"/>
    </row>
    <row r="551">
      <c r="C551" s="28"/>
      <c r="D551" s="28"/>
      <c r="F551" s="28"/>
      <c r="G551" s="28"/>
      <c r="H551" s="28"/>
      <c r="I551" s="106"/>
      <c r="J551" s="107"/>
      <c r="K551" s="28"/>
    </row>
    <row r="552">
      <c r="C552" s="28"/>
      <c r="D552" s="28"/>
      <c r="F552" s="28"/>
      <c r="G552" s="28"/>
      <c r="H552" s="28"/>
      <c r="I552" s="106"/>
      <c r="J552" s="107"/>
      <c r="K552" s="28"/>
    </row>
    <row r="553">
      <c r="C553" s="28"/>
      <c r="D553" s="28"/>
      <c r="F553" s="28"/>
      <c r="G553" s="28"/>
      <c r="H553" s="28"/>
      <c r="I553" s="106"/>
      <c r="J553" s="107"/>
      <c r="K553" s="28"/>
    </row>
    <row r="554">
      <c r="C554" s="28"/>
      <c r="D554" s="28"/>
      <c r="F554" s="28"/>
      <c r="G554" s="28"/>
      <c r="H554" s="28"/>
      <c r="I554" s="106"/>
      <c r="J554" s="107"/>
      <c r="K554" s="28"/>
    </row>
    <row r="555">
      <c r="C555" s="28"/>
      <c r="D555" s="28"/>
      <c r="F555" s="28"/>
      <c r="G555" s="28"/>
      <c r="H555" s="28"/>
      <c r="I555" s="106"/>
      <c r="J555" s="107"/>
      <c r="K555" s="28"/>
    </row>
    <row r="556">
      <c r="C556" s="28"/>
      <c r="D556" s="28"/>
      <c r="F556" s="28"/>
      <c r="G556" s="28"/>
      <c r="H556" s="28"/>
      <c r="I556" s="106"/>
      <c r="J556" s="107"/>
      <c r="K556" s="28"/>
    </row>
    <row r="557">
      <c r="C557" s="28"/>
      <c r="D557" s="28"/>
      <c r="F557" s="28"/>
      <c r="G557" s="28"/>
      <c r="H557" s="28"/>
      <c r="I557" s="106"/>
      <c r="J557" s="107"/>
      <c r="K557" s="28"/>
    </row>
    <row r="558">
      <c r="C558" s="28"/>
      <c r="D558" s="28"/>
      <c r="F558" s="28"/>
      <c r="G558" s="28"/>
      <c r="H558" s="28"/>
      <c r="I558" s="106"/>
      <c r="J558" s="107"/>
      <c r="K558" s="28"/>
    </row>
    <row r="559">
      <c r="C559" s="28"/>
      <c r="D559" s="28"/>
      <c r="F559" s="28"/>
      <c r="G559" s="28"/>
      <c r="H559" s="28"/>
      <c r="I559" s="106"/>
      <c r="J559" s="107"/>
      <c r="K559" s="28"/>
    </row>
    <row r="560">
      <c r="C560" s="28"/>
      <c r="D560" s="28"/>
      <c r="F560" s="28"/>
      <c r="G560" s="28"/>
      <c r="H560" s="28"/>
      <c r="I560" s="106"/>
      <c r="J560" s="107"/>
      <c r="K560" s="28"/>
    </row>
    <row r="561">
      <c r="C561" s="28"/>
      <c r="D561" s="28"/>
      <c r="F561" s="28"/>
      <c r="G561" s="28"/>
      <c r="H561" s="28"/>
      <c r="I561" s="106"/>
      <c r="J561" s="107"/>
      <c r="K561" s="28"/>
    </row>
    <row r="562">
      <c r="C562" s="28"/>
      <c r="D562" s="28"/>
      <c r="F562" s="28"/>
      <c r="G562" s="28"/>
      <c r="H562" s="28"/>
      <c r="I562" s="106"/>
      <c r="J562" s="107"/>
      <c r="K562" s="28"/>
    </row>
    <row r="563">
      <c r="C563" s="28"/>
      <c r="D563" s="28"/>
      <c r="F563" s="28"/>
      <c r="G563" s="28"/>
      <c r="H563" s="28"/>
      <c r="I563" s="106"/>
      <c r="J563" s="107"/>
      <c r="K563" s="28"/>
    </row>
    <row r="564">
      <c r="C564" s="28"/>
      <c r="D564" s="28"/>
      <c r="F564" s="28"/>
      <c r="G564" s="28"/>
      <c r="H564" s="28"/>
      <c r="I564" s="106"/>
      <c r="J564" s="107"/>
      <c r="K564" s="28"/>
    </row>
    <row r="565">
      <c r="C565" s="28"/>
      <c r="D565" s="28"/>
      <c r="F565" s="28"/>
      <c r="G565" s="28"/>
      <c r="H565" s="28"/>
      <c r="I565" s="106"/>
      <c r="J565" s="107"/>
      <c r="K565" s="28"/>
    </row>
    <row r="566">
      <c r="C566" s="28"/>
      <c r="D566" s="28"/>
      <c r="F566" s="28"/>
      <c r="G566" s="28"/>
      <c r="H566" s="28"/>
      <c r="I566" s="106"/>
      <c r="J566" s="107"/>
      <c r="K566" s="28"/>
    </row>
    <row r="567">
      <c r="C567" s="28"/>
      <c r="D567" s="28"/>
      <c r="F567" s="28"/>
      <c r="G567" s="28"/>
      <c r="H567" s="28"/>
      <c r="I567" s="106"/>
      <c r="J567" s="107"/>
      <c r="K567" s="28"/>
    </row>
    <row r="568">
      <c r="C568" s="28"/>
      <c r="D568" s="28"/>
      <c r="F568" s="28"/>
      <c r="G568" s="28"/>
      <c r="H568" s="28"/>
      <c r="I568" s="106"/>
      <c r="J568" s="107"/>
      <c r="K568" s="28"/>
    </row>
    <row r="569">
      <c r="C569" s="28"/>
      <c r="D569" s="28"/>
      <c r="F569" s="28"/>
      <c r="G569" s="28"/>
      <c r="H569" s="28"/>
      <c r="I569" s="106"/>
      <c r="J569" s="107"/>
      <c r="K569" s="28"/>
    </row>
    <row r="570">
      <c r="C570" s="28"/>
      <c r="D570" s="28"/>
      <c r="F570" s="28"/>
      <c r="G570" s="28"/>
      <c r="H570" s="28"/>
      <c r="I570" s="106"/>
      <c r="J570" s="107"/>
      <c r="K570" s="28"/>
    </row>
    <row r="571">
      <c r="C571" s="28"/>
      <c r="D571" s="28"/>
      <c r="F571" s="28"/>
      <c r="G571" s="28"/>
      <c r="H571" s="28"/>
      <c r="I571" s="106"/>
      <c r="J571" s="107"/>
      <c r="K571" s="28"/>
    </row>
    <row r="572">
      <c r="C572" s="28"/>
      <c r="D572" s="28"/>
      <c r="F572" s="28"/>
      <c r="G572" s="28"/>
      <c r="H572" s="28"/>
      <c r="I572" s="106"/>
      <c r="J572" s="107"/>
      <c r="K572" s="28"/>
    </row>
    <row r="573">
      <c r="C573" s="28"/>
      <c r="D573" s="28"/>
      <c r="F573" s="28"/>
      <c r="G573" s="28"/>
      <c r="H573" s="28"/>
      <c r="I573" s="106"/>
      <c r="J573" s="107"/>
      <c r="K573" s="28"/>
    </row>
    <row r="574">
      <c r="C574" s="28"/>
      <c r="D574" s="28"/>
      <c r="F574" s="28"/>
      <c r="G574" s="28"/>
      <c r="H574" s="28"/>
      <c r="I574" s="106"/>
      <c r="J574" s="107"/>
      <c r="K574" s="28"/>
    </row>
    <row r="575">
      <c r="C575" s="28"/>
      <c r="D575" s="28"/>
      <c r="F575" s="28"/>
      <c r="G575" s="28"/>
      <c r="H575" s="28"/>
      <c r="I575" s="106"/>
      <c r="J575" s="107"/>
      <c r="K575" s="28"/>
    </row>
    <row r="576">
      <c r="C576" s="28"/>
      <c r="D576" s="28"/>
      <c r="F576" s="28"/>
      <c r="G576" s="28"/>
      <c r="H576" s="28"/>
      <c r="I576" s="106"/>
      <c r="J576" s="107"/>
      <c r="K576" s="28"/>
    </row>
    <row r="577">
      <c r="C577" s="28"/>
      <c r="D577" s="28"/>
      <c r="F577" s="28"/>
      <c r="G577" s="28"/>
      <c r="H577" s="28"/>
      <c r="I577" s="106"/>
      <c r="J577" s="107"/>
      <c r="K577" s="28"/>
    </row>
    <row r="578">
      <c r="C578" s="28"/>
      <c r="D578" s="28"/>
      <c r="F578" s="28"/>
      <c r="G578" s="28"/>
      <c r="H578" s="28"/>
      <c r="I578" s="106"/>
      <c r="J578" s="107"/>
      <c r="K578" s="28"/>
    </row>
    <row r="579">
      <c r="C579" s="28"/>
      <c r="D579" s="28"/>
      <c r="F579" s="28"/>
      <c r="G579" s="28"/>
      <c r="H579" s="28"/>
      <c r="I579" s="106"/>
      <c r="J579" s="107"/>
      <c r="K579" s="28"/>
    </row>
    <row r="580">
      <c r="C580" s="28"/>
      <c r="D580" s="28"/>
      <c r="F580" s="28"/>
      <c r="G580" s="28"/>
      <c r="H580" s="28"/>
      <c r="I580" s="106"/>
      <c r="J580" s="107"/>
      <c r="K580" s="28"/>
    </row>
    <row r="581">
      <c r="C581" s="28"/>
      <c r="D581" s="28"/>
      <c r="F581" s="28"/>
      <c r="G581" s="28"/>
      <c r="H581" s="28"/>
      <c r="I581" s="106"/>
      <c r="J581" s="107"/>
      <c r="K581" s="28"/>
    </row>
    <row r="582">
      <c r="C582" s="28"/>
      <c r="D582" s="28"/>
      <c r="F582" s="28"/>
      <c r="G582" s="28"/>
      <c r="H582" s="28"/>
      <c r="I582" s="106"/>
      <c r="J582" s="107"/>
      <c r="K582" s="28"/>
    </row>
    <row r="583">
      <c r="C583" s="28"/>
      <c r="D583" s="28"/>
      <c r="F583" s="28"/>
      <c r="G583" s="28"/>
      <c r="H583" s="28"/>
      <c r="I583" s="106"/>
      <c r="J583" s="107"/>
      <c r="K583" s="28"/>
    </row>
    <row r="584">
      <c r="C584" s="28"/>
      <c r="D584" s="28"/>
      <c r="F584" s="28"/>
      <c r="G584" s="28"/>
      <c r="H584" s="28"/>
      <c r="I584" s="106"/>
      <c r="J584" s="107"/>
      <c r="K584" s="28"/>
    </row>
    <row r="585">
      <c r="C585" s="28"/>
      <c r="D585" s="28"/>
      <c r="F585" s="28"/>
      <c r="G585" s="28"/>
      <c r="H585" s="28"/>
      <c r="I585" s="106"/>
      <c r="J585" s="107"/>
      <c r="K585" s="28"/>
    </row>
    <row r="586">
      <c r="C586" s="28"/>
      <c r="D586" s="28"/>
      <c r="F586" s="28"/>
      <c r="G586" s="28"/>
      <c r="H586" s="28"/>
      <c r="I586" s="106"/>
      <c r="J586" s="107"/>
      <c r="K586" s="28"/>
    </row>
    <row r="587">
      <c r="C587" s="28"/>
      <c r="D587" s="28"/>
      <c r="F587" s="28"/>
      <c r="G587" s="28"/>
      <c r="H587" s="28"/>
      <c r="I587" s="106"/>
      <c r="J587" s="107"/>
      <c r="K587" s="28"/>
    </row>
    <row r="588">
      <c r="C588" s="28"/>
      <c r="D588" s="28"/>
      <c r="F588" s="28"/>
      <c r="G588" s="28"/>
      <c r="H588" s="28"/>
      <c r="I588" s="106"/>
      <c r="J588" s="107"/>
      <c r="K588" s="28"/>
    </row>
    <row r="589">
      <c r="C589" s="28"/>
      <c r="D589" s="28"/>
      <c r="F589" s="28"/>
      <c r="G589" s="28"/>
      <c r="H589" s="28"/>
      <c r="I589" s="106"/>
      <c r="J589" s="107"/>
      <c r="K589" s="28"/>
    </row>
    <row r="590">
      <c r="C590" s="28"/>
      <c r="D590" s="28"/>
      <c r="F590" s="28"/>
      <c r="G590" s="28"/>
      <c r="H590" s="28"/>
      <c r="I590" s="106"/>
      <c r="J590" s="107"/>
      <c r="K590" s="28"/>
    </row>
    <row r="591">
      <c r="C591" s="28"/>
      <c r="D591" s="28"/>
      <c r="F591" s="28"/>
      <c r="G591" s="28"/>
      <c r="H591" s="28"/>
      <c r="I591" s="106"/>
      <c r="J591" s="107"/>
      <c r="K591" s="28"/>
    </row>
    <row r="592">
      <c r="C592" s="28"/>
      <c r="D592" s="28"/>
      <c r="F592" s="28"/>
      <c r="G592" s="28"/>
      <c r="H592" s="28"/>
      <c r="I592" s="106"/>
      <c r="J592" s="107"/>
      <c r="K592" s="28"/>
    </row>
    <row r="593">
      <c r="C593" s="28"/>
      <c r="D593" s="28"/>
      <c r="F593" s="28"/>
      <c r="G593" s="28"/>
      <c r="H593" s="28"/>
      <c r="I593" s="106"/>
      <c r="J593" s="107"/>
      <c r="K593" s="28"/>
    </row>
    <row r="594">
      <c r="C594" s="28"/>
      <c r="D594" s="28"/>
      <c r="F594" s="28"/>
      <c r="G594" s="28"/>
      <c r="H594" s="28"/>
      <c r="I594" s="106"/>
      <c r="J594" s="107"/>
      <c r="K594" s="28"/>
    </row>
    <row r="595">
      <c r="C595" s="28"/>
      <c r="D595" s="28"/>
      <c r="F595" s="28"/>
      <c r="G595" s="28"/>
      <c r="H595" s="28"/>
      <c r="I595" s="106"/>
      <c r="J595" s="107"/>
      <c r="K595" s="28"/>
    </row>
    <row r="596">
      <c r="C596" s="28"/>
      <c r="D596" s="28"/>
      <c r="F596" s="28"/>
      <c r="G596" s="28"/>
      <c r="H596" s="28"/>
      <c r="I596" s="106"/>
      <c r="J596" s="107"/>
      <c r="K596" s="28"/>
    </row>
    <row r="597">
      <c r="C597" s="28"/>
      <c r="D597" s="28"/>
      <c r="F597" s="28"/>
      <c r="G597" s="28"/>
      <c r="H597" s="28"/>
      <c r="I597" s="106"/>
      <c r="J597" s="107"/>
      <c r="K597" s="28"/>
    </row>
    <row r="598">
      <c r="C598" s="28"/>
      <c r="D598" s="28"/>
      <c r="F598" s="28"/>
      <c r="G598" s="28"/>
      <c r="H598" s="28"/>
      <c r="I598" s="106"/>
      <c r="J598" s="107"/>
      <c r="K598" s="28"/>
    </row>
    <row r="599">
      <c r="C599" s="28"/>
      <c r="D599" s="28"/>
      <c r="F599" s="28"/>
      <c r="G599" s="28"/>
      <c r="H599" s="28"/>
      <c r="I599" s="106"/>
      <c r="J599" s="107"/>
      <c r="K599" s="28"/>
    </row>
    <row r="600">
      <c r="C600" s="28"/>
      <c r="D600" s="28"/>
      <c r="F600" s="28"/>
      <c r="G600" s="28"/>
      <c r="H600" s="28"/>
      <c r="I600" s="106"/>
      <c r="J600" s="107"/>
      <c r="K600" s="28"/>
    </row>
    <row r="601">
      <c r="C601" s="28"/>
      <c r="D601" s="28"/>
      <c r="F601" s="28"/>
      <c r="G601" s="28"/>
      <c r="H601" s="28"/>
      <c r="I601" s="106"/>
      <c r="J601" s="107"/>
      <c r="K601" s="28"/>
    </row>
    <row r="602">
      <c r="C602" s="28"/>
      <c r="D602" s="28"/>
      <c r="F602" s="28"/>
      <c r="G602" s="28"/>
      <c r="H602" s="28"/>
      <c r="I602" s="106"/>
      <c r="J602" s="107"/>
      <c r="K602" s="28"/>
    </row>
    <row r="603">
      <c r="C603" s="28"/>
      <c r="D603" s="28"/>
      <c r="F603" s="28"/>
      <c r="G603" s="28"/>
      <c r="H603" s="28"/>
      <c r="I603" s="106"/>
      <c r="J603" s="107"/>
      <c r="K603" s="28"/>
    </row>
    <row r="604">
      <c r="C604" s="28"/>
      <c r="D604" s="28"/>
      <c r="F604" s="28"/>
      <c r="G604" s="28"/>
      <c r="H604" s="28"/>
      <c r="I604" s="106"/>
      <c r="J604" s="107"/>
      <c r="K604" s="28"/>
    </row>
    <row r="605">
      <c r="C605" s="28"/>
      <c r="D605" s="28"/>
      <c r="F605" s="28"/>
      <c r="G605" s="28"/>
      <c r="H605" s="28"/>
      <c r="I605" s="106"/>
      <c r="J605" s="107"/>
      <c r="K605" s="28"/>
    </row>
    <row r="606">
      <c r="C606" s="28"/>
      <c r="D606" s="28"/>
      <c r="F606" s="28"/>
      <c r="G606" s="28"/>
      <c r="H606" s="28"/>
      <c r="I606" s="106"/>
      <c r="J606" s="107"/>
      <c r="K606" s="28"/>
    </row>
    <row r="607">
      <c r="C607" s="28"/>
      <c r="D607" s="28"/>
      <c r="F607" s="28"/>
      <c r="G607" s="28"/>
      <c r="H607" s="28"/>
      <c r="I607" s="106"/>
      <c r="J607" s="107"/>
      <c r="K607" s="28"/>
    </row>
    <row r="608">
      <c r="C608" s="28"/>
      <c r="D608" s="28"/>
      <c r="F608" s="28"/>
      <c r="G608" s="28"/>
      <c r="H608" s="28"/>
      <c r="I608" s="106"/>
      <c r="J608" s="107"/>
      <c r="K608" s="28"/>
    </row>
    <row r="609">
      <c r="C609" s="28"/>
      <c r="D609" s="28"/>
      <c r="F609" s="28"/>
      <c r="G609" s="28"/>
      <c r="H609" s="28"/>
      <c r="I609" s="106"/>
      <c r="J609" s="107"/>
      <c r="K609" s="28"/>
    </row>
    <row r="610">
      <c r="C610" s="28"/>
      <c r="D610" s="28"/>
      <c r="F610" s="28"/>
      <c r="G610" s="28"/>
      <c r="H610" s="28"/>
      <c r="I610" s="106"/>
      <c r="J610" s="107"/>
      <c r="K610" s="28"/>
    </row>
    <row r="611">
      <c r="C611" s="28"/>
      <c r="D611" s="28"/>
      <c r="F611" s="28"/>
      <c r="G611" s="28"/>
      <c r="H611" s="28"/>
      <c r="I611" s="106"/>
      <c r="J611" s="107"/>
      <c r="K611" s="28"/>
    </row>
    <row r="612">
      <c r="C612" s="28"/>
      <c r="D612" s="28"/>
      <c r="F612" s="28"/>
      <c r="G612" s="28"/>
      <c r="H612" s="28"/>
      <c r="I612" s="106"/>
      <c r="J612" s="107"/>
      <c r="K612" s="28"/>
    </row>
    <row r="613">
      <c r="C613" s="28"/>
      <c r="D613" s="28"/>
      <c r="F613" s="28"/>
      <c r="G613" s="28"/>
      <c r="H613" s="28"/>
      <c r="I613" s="106"/>
      <c r="J613" s="107"/>
      <c r="K613" s="28"/>
    </row>
    <row r="614">
      <c r="C614" s="28"/>
      <c r="D614" s="28"/>
      <c r="F614" s="28"/>
      <c r="G614" s="28"/>
      <c r="H614" s="28"/>
      <c r="I614" s="106"/>
      <c r="J614" s="107"/>
      <c r="K614" s="28"/>
    </row>
    <row r="615">
      <c r="C615" s="28"/>
      <c r="D615" s="28"/>
      <c r="F615" s="28"/>
      <c r="G615" s="28"/>
      <c r="H615" s="28"/>
      <c r="I615" s="106"/>
      <c r="J615" s="107"/>
      <c r="K615" s="28"/>
    </row>
    <row r="616">
      <c r="C616" s="28"/>
      <c r="D616" s="28"/>
      <c r="F616" s="28"/>
      <c r="G616" s="28"/>
      <c r="H616" s="28"/>
      <c r="I616" s="106"/>
      <c r="J616" s="107"/>
      <c r="K616" s="28"/>
    </row>
    <row r="617">
      <c r="C617" s="28"/>
      <c r="D617" s="28"/>
      <c r="F617" s="28"/>
      <c r="G617" s="28"/>
      <c r="H617" s="28"/>
      <c r="I617" s="106"/>
      <c r="J617" s="107"/>
      <c r="K617" s="28"/>
    </row>
    <row r="618">
      <c r="C618" s="28"/>
      <c r="D618" s="28"/>
      <c r="F618" s="28"/>
      <c r="G618" s="28"/>
      <c r="H618" s="28"/>
      <c r="I618" s="106"/>
      <c r="J618" s="107"/>
      <c r="K618" s="28"/>
    </row>
    <row r="619">
      <c r="C619" s="28"/>
      <c r="D619" s="28"/>
      <c r="F619" s="28"/>
      <c r="G619" s="28"/>
      <c r="H619" s="28"/>
      <c r="I619" s="106"/>
      <c r="J619" s="107"/>
      <c r="K619" s="28"/>
    </row>
    <row r="620">
      <c r="C620" s="28"/>
      <c r="D620" s="28"/>
      <c r="F620" s="28"/>
      <c r="G620" s="28"/>
      <c r="H620" s="28"/>
      <c r="I620" s="106"/>
      <c r="J620" s="107"/>
      <c r="K620" s="28"/>
    </row>
    <row r="621">
      <c r="C621" s="28"/>
      <c r="D621" s="28"/>
      <c r="F621" s="28"/>
      <c r="G621" s="28"/>
      <c r="H621" s="28"/>
      <c r="I621" s="106"/>
      <c r="J621" s="107"/>
      <c r="K621" s="28"/>
    </row>
    <row r="622">
      <c r="C622" s="28"/>
      <c r="D622" s="28"/>
      <c r="F622" s="28"/>
      <c r="G622" s="28"/>
      <c r="H622" s="28"/>
      <c r="I622" s="106"/>
      <c r="J622" s="107"/>
      <c r="K622" s="28"/>
    </row>
    <row r="623">
      <c r="C623" s="28"/>
      <c r="D623" s="28"/>
      <c r="F623" s="28"/>
      <c r="G623" s="28"/>
      <c r="H623" s="28"/>
      <c r="I623" s="106"/>
      <c r="J623" s="107"/>
      <c r="K623" s="28"/>
    </row>
    <row r="624">
      <c r="C624" s="28"/>
      <c r="D624" s="28"/>
      <c r="F624" s="28"/>
      <c r="G624" s="28"/>
      <c r="H624" s="28"/>
      <c r="I624" s="106"/>
      <c r="J624" s="107"/>
      <c r="K624" s="28"/>
    </row>
    <row r="625">
      <c r="C625" s="28"/>
      <c r="D625" s="28"/>
      <c r="F625" s="28"/>
      <c r="G625" s="28"/>
      <c r="H625" s="28"/>
      <c r="I625" s="106"/>
      <c r="J625" s="107"/>
      <c r="K625" s="28"/>
    </row>
    <row r="626">
      <c r="C626" s="28"/>
      <c r="D626" s="28"/>
      <c r="F626" s="28"/>
      <c r="G626" s="28"/>
      <c r="H626" s="28"/>
      <c r="I626" s="106"/>
      <c r="J626" s="107"/>
      <c r="K626" s="28"/>
    </row>
    <row r="627">
      <c r="C627" s="28"/>
      <c r="D627" s="28"/>
      <c r="F627" s="28"/>
      <c r="G627" s="28"/>
      <c r="H627" s="28"/>
      <c r="I627" s="106"/>
      <c r="J627" s="107"/>
      <c r="K627" s="28"/>
    </row>
    <row r="628">
      <c r="C628" s="28"/>
      <c r="D628" s="28"/>
      <c r="F628" s="28"/>
      <c r="G628" s="28"/>
      <c r="H628" s="28"/>
      <c r="I628" s="106"/>
      <c r="J628" s="107"/>
      <c r="K628" s="28"/>
    </row>
    <row r="629">
      <c r="C629" s="28"/>
      <c r="D629" s="28"/>
      <c r="F629" s="28"/>
      <c r="G629" s="28"/>
      <c r="H629" s="28"/>
      <c r="I629" s="106"/>
      <c r="J629" s="107"/>
      <c r="K629" s="28"/>
    </row>
    <row r="630">
      <c r="C630" s="28"/>
      <c r="D630" s="28"/>
      <c r="F630" s="28"/>
      <c r="G630" s="28"/>
      <c r="H630" s="28"/>
      <c r="I630" s="106"/>
      <c r="J630" s="107"/>
      <c r="K630" s="28"/>
    </row>
    <row r="631">
      <c r="C631" s="28"/>
      <c r="D631" s="28"/>
      <c r="F631" s="28"/>
      <c r="G631" s="28"/>
      <c r="H631" s="28"/>
      <c r="I631" s="106"/>
      <c r="J631" s="107"/>
      <c r="K631" s="28"/>
    </row>
    <row r="632">
      <c r="C632" s="28"/>
      <c r="D632" s="28"/>
      <c r="F632" s="28"/>
      <c r="G632" s="28"/>
      <c r="H632" s="28"/>
      <c r="I632" s="106"/>
      <c r="J632" s="107"/>
      <c r="K632" s="28"/>
    </row>
    <row r="633">
      <c r="C633" s="28"/>
      <c r="D633" s="28"/>
      <c r="F633" s="28"/>
      <c r="G633" s="28"/>
      <c r="H633" s="28"/>
      <c r="I633" s="106"/>
      <c r="J633" s="107"/>
      <c r="K633" s="28"/>
    </row>
    <row r="634">
      <c r="C634" s="28"/>
      <c r="D634" s="28"/>
      <c r="F634" s="28"/>
      <c r="G634" s="28"/>
      <c r="H634" s="28"/>
      <c r="I634" s="106"/>
      <c r="J634" s="107"/>
      <c r="K634" s="28"/>
    </row>
    <row r="635">
      <c r="C635" s="28"/>
      <c r="D635" s="28"/>
      <c r="F635" s="28"/>
      <c r="G635" s="28"/>
      <c r="H635" s="28"/>
      <c r="I635" s="106"/>
      <c r="J635" s="107"/>
      <c r="K635" s="28"/>
    </row>
    <row r="636">
      <c r="C636" s="28"/>
      <c r="D636" s="28"/>
      <c r="F636" s="28"/>
      <c r="G636" s="28"/>
      <c r="H636" s="28"/>
      <c r="I636" s="106"/>
      <c r="J636" s="107"/>
      <c r="K636" s="28"/>
    </row>
    <row r="637">
      <c r="C637" s="28"/>
      <c r="D637" s="28"/>
      <c r="F637" s="28"/>
      <c r="G637" s="28"/>
      <c r="H637" s="28"/>
      <c r="I637" s="106"/>
      <c r="J637" s="107"/>
      <c r="K637" s="28"/>
    </row>
    <row r="638">
      <c r="C638" s="28"/>
      <c r="D638" s="28"/>
      <c r="F638" s="28"/>
      <c r="G638" s="28"/>
      <c r="H638" s="28"/>
      <c r="I638" s="106"/>
      <c r="J638" s="107"/>
      <c r="K638" s="28"/>
    </row>
    <row r="639">
      <c r="C639" s="28"/>
      <c r="D639" s="28"/>
      <c r="F639" s="28"/>
      <c r="G639" s="28"/>
      <c r="H639" s="28"/>
      <c r="I639" s="106"/>
      <c r="J639" s="107"/>
      <c r="K639" s="28"/>
    </row>
    <row r="640">
      <c r="C640" s="28"/>
      <c r="D640" s="28"/>
      <c r="F640" s="28"/>
      <c r="G640" s="28"/>
      <c r="H640" s="28"/>
      <c r="I640" s="106"/>
      <c r="J640" s="107"/>
      <c r="K640" s="28"/>
    </row>
    <row r="641">
      <c r="C641" s="28"/>
      <c r="D641" s="28"/>
      <c r="F641" s="28"/>
      <c r="G641" s="28"/>
      <c r="H641" s="28"/>
      <c r="I641" s="106"/>
      <c r="J641" s="107"/>
      <c r="K641" s="28"/>
    </row>
    <row r="642">
      <c r="C642" s="28"/>
      <c r="D642" s="28"/>
      <c r="F642" s="28"/>
      <c r="G642" s="28"/>
      <c r="H642" s="28"/>
      <c r="I642" s="106"/>
      <c r="J642" s="107"/>
      <c r="K642" s="28"/>
    </row>
    <row r="643">
      <c r="C643" s="28"/>
      <c r="D643" s="28"/>
      <c r="F643" s="28"/>
      <c r="G643" s="28"/>
      <c r="H643" s="28"/>
      <c r="I643" s="106"/>
      <c r="J643" s="107"/>
      <c r="K643" s="28"/>
    </row>
    <row r="644">
      <c r="C644" s="28"/>
      <c r="D644" s="28"/>
      <c r="F644" s="28"/>
      <c r="G644" s="28"/>
      <c r="H644" s="28"/>
      <c r="I644" s="106"/>
      <c r="J644" s="107"/>
      <c r="K644" s="28"/>
    </row>
    <row r="645">
      <c r="C645" s="28"/>
      <c r="D645" s="28"/>
      <c r="F645" s="28"/>
      <c r="G645" s="28"/>
      <c r="H645" s="28"/>
      <c r="I645" s="106"/>
      <c r="J645" s="107"/>
      <c r="K645" s="28"/>
    </row>
    <row r="646">
      <c r="C646" s="28"/>
      <c r="D646" s="28"/>
      <c r="F646" s="28"/>
      <c r="G646" s="28"/>
      <c r="H646" s="28"/>
      <c r="I646" s="106"/>
      <c r="J646" s="107"/>
      <c r="K646" s="28"/>
    </row>
    <row r="647">
      <c r="C647" s="28"/>
      <c r="D647" s="28"/>
      <c r="F647" s="28"/>
      <c r="G647" s="28"/>
      <c r="H647" s="28"/>
      <c r="I647" s="106"/>
      <c r="J647" s="107"/>
      <c r="K647" s="28"/>
    </row>
    <row r="648">
      <c r="C648" s="28"/>
      <c r="D648" s="28"/>
      <c r="F648" s="28"/>
      <c r="G648" s="28"/>
      <c r="H648" s="28"/>
      <c r="I648" s="106"/>
      <c r="J648" s="107"/>
      <c r="K648" s="28"/>
    </row>
    <row r="649">
      <c r="C649" s="28"/>
      <c r="D649" s="28"/>
      <c r="F649" s="28"/>
      <c r="G649" s="28"/>
      <c r="H649" s="28"/>
      <c r="I649" s="106"/>
      <c r="J649" s="107"/>
      <c r="K649" s="28"/>
    </row>
    <row r="650">
      <c r="C650" s="28"/>
      <c r="D650" s="28"/>
      <c r="F650" s="28"/>
      <c r="G650" s="28"/>
      <c r="H650" s="28"/>
      <c r="I650" s="106"/>
      <c r="J650" s="107"/>
      <c r="K650" s="28"/>
    </row>
    <row r="651">
      <c r="C651" s="28"/>
      <c r="D651" s="28"/>
      <c r="F651" s="28"/>
      <c r="G651" s="28"/>
      <c r="H651" s="28"/>
      <c r="I651" s="106"/>
      <c r="J651" s="107"/>
      <c r="K651" s="28"/>
    </row>
    <row r="652">
      <c r="C652" s="28"/>
      <c r="D652" s="28"/>
      <c r="F652" s="28"/>
      <c r="G652" s="28"/>
      <c r="H652" s="28"/>
      <c r="I652" s="106"/>
      <c r="J652" s="107"/>
      <c r="K652" s="28"/>
    </row>
    <row r="653">
      <c r="C653" s="28"/>
      <c r="D653" s="28"/>
      <c r="F653" s="28"/>
      <c r="G653" s="28"/>
      <c r="H653" s="28"/>
      <c r="I653" s="106"/>
      <c r="J653" s="107"/>
      <c r="K653" s="28"/>
    </row>
    <row r="654">
      <c r="C654" s="28"/>
      <c r="D654" s="28"/>
      <c r="F654" s="28"/>
      <c r="G654" s="28"/>
      <c r="H654" s="28"/>
      <c r="I654" s="106"/>
      <c r="J654" s="107"/>
      <c r="K654" s="28"/>
    </row>
    <row r="655">
      <c r="C655" s="28"/>
      <c r="D655" s="28"/>
      <c r="F655" s="28"/>
      <c r="G655" s="28"/>
      <c r="H655" s="28"/>
      <c r="I655" s="106"/>
      <c r="J655" s="107"/>
      <c r="K655" s="28"/>
    </row>
    <row r="656">
      <c r="C656" s="28"/>
      <c r="D656" s="28"/>
      <c r="F656" s="28"/>
      <c r="G656" s="28"/>
      <c r="H656" s="28"/>
      <c r="I656" s="106"/>
      <c r="J656" s="107"/>
      <c r="K656" s="28"/>
    </row>
    <row r="657">
      <c r="C657" s="28"/>
      <c r="D657" s="28"/>
      <c r="F657" s="28"/>
      <c r="G657" s="28"/>
      <c r="H657" s="28"/>
      <c r="I657" s="106"/>
      <c r="J657" s="107"/>
      <c r="K657" s="28"/>
    </row>
    <row r="658">
      <c r="C658" s="28"/>
      <c r="D658" s="28"/>
      <c r="F658" s="28"/>
      <c r="G658" s="28"/>
      <c r="H658" s="28"/>
      <c r="I658" s="106"/>
      <c r="J658" s="107"/>
      <c r="K658" s="28"/>
    </row>
    <row r="659">
      <c r="C659" s="28"/>
      <c r="D659" s="28"/>
      <c r="F659" s="28"/>
      <c r="G659" s="28"/>
      <c r="H659" s="28"/>
      <c r="I659" s="106"/>
      <c r="J659" s="107"/>
      <c r="K659" s="28"/>
    </row>
    <row r="660">
      <c r="C660" s="28"/>
      <c r="D660" s="28"/>
      <c r="F660" s="28"/>
      <c r="G660" s="28"/>
      <c r="H660" s="28"/>
      <c r="I660" s="106"/>
      <c r="J660" s="107"/>
      <c r="K660" s="28"/>
    </row>
    <row r="661">
      <c r="C661" s="28"/>
      <c r="D661" s="28"/>
      <c r="F661" s="28"/>
      <c r="G661" s="28"/>
      <c r="H661" s="28"/>
      <c r="I661" s="106"/>
      <c r="J661" s="107"/>
      <c r="K661" s="28"/>
    </row>
    <row r="662">
      <c r="C662" s="28"/>
      <c r="D662" s="28"/>
      <c r="F662" s="28"/>
      <c r="G662" s="28"/>
      <c r="H662" s="28"/>
      <c r="I662" s="106"/>
      <c r="J662" s="107"/>
      <c r="K662" s="28"/>
    </row>
    <row r="663">
      <c r="C663" s="28"/>
      <c r="D663" s="28"/>
      <c r="F663" s="28"/>
      <c r="G663" s="28"/>
      <c r="H663" s="28"/>
      <c r="I663" s="106"/>
      <c r="J663" s="107"/>
      <c r="K663" s="28"/>
    </row>
    <row r="664">
      <c r="C664" s="28"/>
      <c r="D664" s="28"/>
      <c r="F664" s="28"/>
      <c r="G664" s="28"/>
      <c r="H664" s="28"/>
      <c r="I664" s="106"/>
      <c r="J664" s="107"/>
      <c r="K664" s="28"/>
    </row>
    <row r="665">
      <c r="C665" s="28"/>
      <c r="D665" s="28"/>
      <c r="F665" s="28"/>
      <c r="G665" s="28"/>
      <c r="H665" s="28"/>
      <c r="I665" s="106"/>
      <c r="J665" s="107"/>
      <c r="K665" s="28"/>
    </row>
    <row r="666">
      <c r="C666" s="28"/>
      <c r="D666" s="28"/>
      <c r="F666" s="28"/>
      <c r="G666" s="28"/>
      <c r="H666" s="28"/>
      <c r="I666" s="106"/>
      <c r="J666" s="107"/>
      <c r="K666" s="28"/>
    </row>
    <row r="667">
      <c r="C667" s="28"/>
      <c r="D667" s="28"/>
      <c r="F667" s="28"/>
      <c r="G667" s="28"/>
      <c r="H667" s="28"/>
      <c r="I667" s="106"/>
      <c r="J667" s="107"/>
      <c r="K667" s="28"/>
    </row>
    <row r="668">
      <c r="C668" s="28"/>
      <c r="D668" s="28"/>
      <c r="F668" s="28"/>
      <c r="G668" s="28"/>
      <c r="H668" s="28"/>
      <c r="I668" s="106"/>
      <c r="J668" s="107"/>
      <c r="K668" s="28"/>
    </row>
    <row r="669">
      <c r="C669" s="28"/>
      <c r="D669" s="28"/>
      <c r="F669" s="28"/>
      <c r="G669" s="28"/>
      <c r="H669" s="28"/>
      <c r="I669" s="106"/>
      <c r="J669" s="107"/>
      <c r="K669" s="28"/>
    </row>
    <row r="670">
      <c r="C670" s="28"/>
      <c r="D670" s="28"/>
      <c r="F670" s="28"/>
      <c r="G670" s="28"/>
      <c r="H670" s="28"/>
      <c r="I670" s="106"/>
      <c r="J670" s="107"/>
      <c r="K670" s="28"/>
    </row>
    <row r="671">
      <c r="C671" s="28"/>
      <c r="D671" s="28"/>
      <c r="F671" s="28"/>
      <c r="G671" s="28"/>
      <c r="H671" s="28"/>
      <c r="I671" s="106"/>
      <c r="J671" s="107"/>
      <c r="K671" s="28"/>
    </row>
    <row r="672">
      <c r="C672" s="28"/>
      <c r="D672" s="28"/>
      <c r="F672" s="28"/>
      <c r="G672" s="28"/>
      <c r="H672" s="28"/>
      <c r="I672" s="106"/>
      <c r="J672" s="107"/>
      <c r="K672" s="28"/>
    </row>
    <row r="673">
      <c r="C673" s="28"/>
      <c r="D673" s="28"/>
      <c r="F673" s="28"/>
      <c r="G673" s="28"/>
      <c r="H673" s="28"/>
      <c r="I673" s="106"/>
      <c r="J673" s="107"/>
      <c r="K673" s="28"/>
    </row>
    <row r="674">
      <c r="C674" s="28"/>
      <c r="D674" s="28"/>
      <c r="F674" s="28"/>
      <c r="G674" s="28"/>
      <c r="H674" s="28"/>
      <c r="I674" s="106"/>
      <c r="J674" s="107"/>
      <c r="K674" s="28"/>
    </row>
    <row r="675">
      <c r="C675" s="28"/>
      <c r="D675" s="28"/>
      <c r="F675" s="28"/>
      <c r="G675" s="28"/>
      <c r="H675" s="28"/>
      <c r="I675" s="106"/>
      <c r="J675" s="107"/>
      <c r="K675" s="28"/>
    </row>
    <row r="676">
      <c r="C676" s="28"/>
      <c r="D676" s="28"/>
      <c r="F676" s="28"/>
      <c r="G676" s="28"/>
      <c r="H676" s="28"/>
      <c r="I676" s="106"/>
      <c r="J676" s="107"/>
      <c r="K676" s="28"/>
    </row>
    <row r="677">
      <c r="C677" s="28"/>
      <c r="D677" s="28"/>
      <c r="F677" s="28"/>
      <c r="G677" s="28"/>
      <c r="H677" s="28"/>
      <c r="I677" s="106"/>
      <c r="J677" s="107"/>
      <c r="K677" s="28"/>
    </row>
    <row r="678">
      <c r="C678" s="28"/>
      <c r="D678" s="28"/>
      <c r="F678" s="28"/>
      <c r="G678" s="28"/>
      <c r="H678" s="28"/>
      <c r="I678" s="106"/>
      <c r="J678" s="107"/>
      <c r="K678" s="28"/>
    </row>
    <row r="679">
      <c r="C679" s="28"/>
      <c r="D679" s="28"/>
      <c r="F679" s="28"/>
      <c r="G679" s="28"/>
      <c r="H679" s="28"/>
      <c r="I679" s="106"/>
      <c r="J679" s="107"/>
      <c r="K679" s="28"/>
    </row>
    <row r="680">
      <c r="C680" s="28"/>
      <c r="D680" s="28"/>
      <c r="F680" s="28"/>
      <c r="G680" s="28"/>
      <c r="H680" s="28"/>
      <c r="I680" s="106"/>
      <c r="J680" s="107"/>
      <c r="K680" s="28"/>
    </row>
    <row r="681">
      <c r="C681" s="28"/>
      <c r="D681" s="28"/>
      <c r="F681" s="28"/>
      <c r="G681" s="28"/>
      <c r="H681" s="28"/>
      <c r="I681" s="106"/>
      <c r="J681" s="107"/>
      <c r="K681" s="28"/>
    </row>
    <row r="682">
      <c r="C682" s="28"/>
      <c r="D682" s="28"/>
      <c r="F682" s="28"/>
      <c r="G682" s="28"/>
      <c r="H682" s="28"/>
      <c r="I682" s="106"/>
      <c r="J682" s="107"/>
      <c r="K682" s="28"/>
    </row>
    <row r="683">
      <c r="C683" s="28"/>
      <c r="D683" s="28"/>
      <c r="F683" s="28"/>
      <c r="G683" s="28"/>
      <c r="H683" s="28"/>
      <c r="I683" s="106"/>
      <c r="J683" s="107"/>
      <c r="K683" s="28"/>
    </row>
    <row r="684">
      <c r="C684" s="28"/>
      <c r="D684" s="28"/>
      <c r="F684" s="28"/>
      <c r="G684" s="28"/>
      <c r="H684" s="28"/>
      <c r="I684" s="106"/>
      <c r="J684" s="107"/>
      <c r="K684" s="28"/>
    </row>
    <row r="685">
      <c r="C685" s="28"/>
      <c r="D685" s="28"/>
      <c r="F685" s="28"/>
      <c r="G685" s="28"/>
      <c r="H685" s="28"/>
      <c r="I685" s="106"/>
      <c r="J685" s="107"/>
      <c r="K685" s="28"/>
    </row>
    <row r="686">
      <c r="C686" s="28"/>
      <c r="D686" s="28"/>
      <c r="F686" s="28"/>
      <c r="G686" s="28"/>
      <c r="H686" s="28"/>
      <c r="I686" s="106"/>
      <c r="J686" s="107"/>
      <c r="K686" s="28"/>
    </row>
    <row r="687">
      <c r="C687" s="28"/>
      <c r="D687" s="28"/>
      <c r="F687" s="28"/>
      <c r="G687" s="28"/>
      <c r="H687" s="28"/>
      <c r="I687" s="106"/>
      <c r="J687" s="107"/>
      <c r="K687" s="28"/>
    </row>
    <row r="688">
      <c r="C688" s="28"/>
      <c r="D688" s="28"/>
      <c r="F688" s="28"/>
      <c r="G688" s="28"/>
      <c r="H688" s="28"/>
      <c r="I688" s="106"/>
      <c r="J688" s="107"/>
      <c r="K688" s="28"/>
    </row>
    <row r="689">
      <c r="C689" s="28"/>
      <c r="D689" s="28"/>
      <c r="F689" s="28"/>
      <c r="G689" s="28"/>
      <c r="H689" s="28"/>
      <c r="I689" s="106"/>
      <c r="J689" s="107"/>
      <c r="K689" s="28"/>
    </row>
    <row r="690">
      <c r="C690" s="28"/>
      <c r="D690" s="28"/>
      <c r="F690" s="28"/>
      <c r="G690" s="28"/>
      <c r="H690" s="28"/>
      <c r="I690" s="106"/>
      <c r="J690" s="107"/>
      <c r="K690" s="28"/>
    </row>
    <row r="691">
      <c r="C691" s="28"/>
      <c r="D691" s="28"/>
      <c r="F691" s="28"/>
      <c r="G691" s="28"/>
      <c r="H691" s="28"/>
      <c r="I691" s="106"/>
      <c r="J691" s="107"/>
      <c r="K691" s="28"/>
    </row>
    <row r="692">
      <c r="C692" s="28"/>
      <c r="D692" s="28"/>
      <c r="F692" s="28"/>
      <c r="G692" s="28"/>
      <c r="H692" s="28"/>
      <c r="I692" s="106"/>
      <c r="J692" s="107"/>
      <c r="K692" s="28"/>
    </row>
    <row r="693">
      <c r="C693" s="28"/>
      <c r="D693" s="28"/>
      <c r="F693" s="28"/>
      <c r="G693" s="28"/>
      <c r="H693" s="28"/>
      <c r="I693" s="106"/>
      <c r="J693" s="107"/>
      <c r="K693" s="28"/>
    </row>
    <row r="694">
      <c r="C694" s="28"/>
      <c r="D694" s="28"/>
      <c r="F694" s="28"/>
      <c r="G694" s="28"/>
      <c r="H694" s="28"/>
      <c r="I694" s="106"/>
      <c r="J694" s="107"/>
      <c r="K694" s="28"/>
    </row>
    <row r="695">
      <c r="C695" s="28"/>
      <c r="D695" s="28"/>
      <c r="F695" s="28"/>
      <c r="G695" s="28"/>
      <c r="H695" s="28"/>
      <c r="I695" s="106"/>
      <c r="J695" s="107"/>
      <c r="K695" s="28"/>
    </row>
    <row r="696">
      <c r="C696" s="28"/>
      <c r="D696" s="28"/>
      <c r="F696" s="28"/>
      <c r="G696" s="28"/>
      <c r="H696" s="28"/>
      <c r="I696" s="106"/>
      <c r="J696" s="107"/>
      <c r="K696" s="28"/>
    </row>
    <row r="697">
      <c r="C697" s="28"/>
      <c r="D697" s="28"/>
      <c r="F697" s="28"/>
      <c r="G697" s="28"/>
      <c r="H697" s="28"/>
      <c r="I697" s="106"/>
      <c r="J697" s="107"/>
      <c r="K697" s="28"/>
    </row>
    <row r="698">
      <c r="C698" s="28"/>
      <c r="D698" s="28"/>
      <c r="F698" s="28"/>
      <c r="G698" s="28"/>
      <c r="H698" s="28"/>
      <c r="I698" s="106"/>
      <c r="J698" s="107"/>
      <c r="K698" s="28"/>
    </row>
    <row r="699">
      <c r="C699" s="28"/>
      <c r="D699" s="28"/>
      <c r="F699" s="28"/>
      <c r="G699" s="28"/>
      <c r="H699" s="28"/>
      <c r="I699" s="106"/>
      <c r="J699" s="107"/>
      <c r="K699" s="28"/>
    </row>
    <row r="700">
      <c r="C700" s="28"/>
      <c r="D700" s="28"/>
      <c r="F700" s="28"/>
      <c r="G700" s="28"/>
      <c r="H700" s="28"/>
      <c r="I700" s="106"/>
      <c r="J700" s="107"/>
      <c r="K700" s="28"/>
    </row>
    <row r="701">
      <c r="C701" s="28"/>
      <c r="D701" s="28"/>
      <c r="F701" s="28"/>
      <c r="G701" s="28"/>
      <c r="H701" s="28"/>
      <c r="I701" s="106"/>
      <c r="J701" s="107"/>
      <c r="K701" s="28"/>
    </row>
    <row r="702">
      <c r="C702" s="28"/>
      <c r="D702" s="28"/>
      <c r="F702" s="28"/>
      <c r="G702" s="28"/>
      <c r="H702" s="28"/>
      <c r="I702" s="106"/>
      <c r="J702" s="107"/>
      <c r="K702" s="28"/>
    </row>
    <row r="703">
      <c r="C703" s="28"/>
      <c r="D703" s="28"/>
      <c r="F703" s="28"/>
      <c r="G703" s="28"/>
      <c r="H703" s="28"/>
      <c r="I703" s="106"/>
      <c r="J703" s="107"/>
      <c r="K703" s="28"/>
    </row>
    <row r="704">
      <c r="C704" s="28"/>
      <c r="D704" s="28"/>
      <c r="F704" s="28"/>
      <c r="G704" s="28"/>
      <c r="H704" s="28"/>
      <c r="I704" s="106"/>
      <c r="J704" s="107"/>
      <c r="K704" s="28"/>
    </row>
    <row r="705">
      <c r="C705" s="28"/>
      <c r="D705" s="28"/>
      <c r="F705" s="28"/>
      <c r="G705" s="28"/>
      <c r="H705" s="28"/>
      <c r="I705" s="106"/>
      <c r="J705" s="107"/>
      <c r="K705" s="28"/>
    </row>
    <row r="706">
      <c r="C706" s="28"/>
      <c r="D706" s="28"/>
      <c r="F706" s="28"/>
      <c r="G706" s="28"/>
      <c r="H706" s="28"/>
      <c r="I706" s="106"/>
      <c r="J706" s="107"/>
      <c r="K706" s="28"/>
    </row>
    <row r="707">
      <c r="C707" s="28"/>
      <c r="D707" s="28"/>
      <c r="F707" s="28"/>
      <c r="G707" s="28"/>
      <c r="H707" s="28"/>
      <c r="I707" s="106"/>
      <c r="J707" s="107"/>
      <c r="K707" s="28"/>
    </row>
    <row r="708">
      <c r="C708" s="28"/>
      <c r="D708" s="28"/>
      <c r="F708" s="28"/>
      <c r="G708" s="28"/>
      <c r="H708" s="28"/>
      <c r="I708" s="106"/>
      <c r="J708" s="107"/>
      <c r="K708" s="28"/>
    </row>
    <row r="709">
      <c r="C709" s="28"/>
      <c r="D709" s="28"/>
      <c r="F709" s="28"/>
      <c r="G709" s="28"/>
      <c r="H709" s="28"/>
      <c r="I709" s="106"/>
      <c r="J709" s="107"/>
      <c r="K709" s="28"/>
    </row>
    <row r="710">
      <c r="C710" s="28"/>
      <c r="D710" s="28"/>
      <c r="F710" s="28"/>
      <c r="G710" s="28"/>
      <c r="H710" s="28"/>
      <c r="I710" s="106"/>
      <c r="J710" s="107"/>
      <c r="K710" s="28"/>
    </row>
    <row r="711">
      <c r="C711" s="28"/>
      <c r="D711" s="28"/>
      <c r="F711" s="28"/>
      <c r="G711" s="28"/>
      <c r="H711" s="28"/>
      <c r="I711" s="106"/>
      <c r="J711" s="107"/>
      <c r="K711" s="28"/>
    </row>
    <row r="712">
      <c r="C712" s="28"/>
      <c r="D712" s="28"/>
      <c r="F712" s="28"/>
      <c r="G712" s="28"/>
      <c r="H712" s="28"/>
      <c r="I712" s="106"/>
      <c r="J712" s="107"/>
      <c r="K712" s="28"/>
    </row>
    <row r="713">
      <c r="C713" s="28"/>
      <c r="D713" s="28"/>
      <c r="F713" s="28"/>
      <c r="G713" s="28"/>
      <c r="H713" s="28"/>
      <c r="I713" s="106"/>
      <c r="J713" s="107"/>
      <c r="K713" s="28"/>
    </row>
    <row r="714">
      <c r="C714" s="28"/>
      <c r="D714" s="28"/>
      <c r="F714" s="28"/>
      <c r="G714" s="28"/>
      <c r="H714" s="28"/>
      <c r="I714" s="106"/>
      <c r="J714" s="107"/>
      <c r="K714" s="28"/>
    </row>
    <row r="715">
      <c r="C715" s="28"/>
      <c r="D715" s="28"/>
      <c r="F715" s="28"/>
      <c r="G715" s="28"/>
      <c r="H715" s="28"/>
      <c r="I715" s="106"/>
      <c r="J715" s="107"/>
      <c r="K715" s="28"/>
    </row>
    <row r="716">
      <c r="C716" s="28"/>
      <c r="D716" s="28"/>
      <c r="F716" s="28"/>
      <c r="G716" s="28"/>
      <c r="H716" s="28"/>
      <c r="I716" s="106"/>
      <c r="J716" s="107"/>
      <c r="K716" s="28"/>
    </row>
    <row r="717">
      <c r="C717" s="28"/>
      <c r="D717" s="28"/>
      <c r="F717" s="28"/>
      <c r="G717" s="28"/>
      <c r="H717" s="28"/>
      <c r="I717" s="106"/>
      <c r="J717" s="107"/>
      <c r="K717" s="28"/>
    </row>
    <row r="718">
      <c r="C718" s="28"/>
      <c r="D718" s="28"/>
      <c r="F718" s="28"/>
      <c r="G718" s="28"/>
      <c r="H718" s="28"/>
      <c r="I718" s="106"/>
      <c r="J718" s="107"/>
      <c r="K718" s="28"/>
    </row>
    <row r="719">
      <c r="C719" s="28"/>
      <c r="D719" s="28"/>
      <c r="F719" s="28"/>
      <c r="G719" s="28"/>
      <c r="H719" s="28"/>
      <c r="I719" s="106"/>
      <c r="J719" s="107"/>
      <c r="K719" s="28"/>
    </row>
    <row r="720">
      <c r="C720" s="28"/>
      <c r="D720" s="28"/>
      <c r="F720" s="28"/>
      <c r="G720" s="28"/>
      <c r="H720" s="28"/>
      <c r="I720" s="106"/>
      <c r="J720" s="107"/>
      <c r="K720" s="28"/>
    </row>
    <row r="721">
      <c r="C721" s="28"/>
      <c r="D721" s="28"/>
      <c r="F721" s="28"/>
      <c r="G721" s="28"/>
      <c r="H721" s="28"/>
      <c r="I721" s="106"/>
      <c r="J721" s="107"/>
      <c r="K721" s="28"/>
    </row>
    <row r="722">
      <c r="C722" s="28"/>
      <c r="D722" s="28"/>
      <c r="F722" s="28"/>
      <c r="G722" s="28"/>
      <c r="H722" s="28"/>
      <c r="I722" s="106"/>
      <c r="J722" s="107"/>
      <c r="K722" s="28"/>
    </row>
    <row r="723">
      <c r="C723" s="28"/>
      <c r="D723" s="28"/>
      <c r="F723" s="28"/>
      <c r="G723" s="28"/>
      <c r="H723" s="28"/>
      <c r="I723" s="106"/>
      <c r="J723" s="107"/>
      <c r="K723" s="28"/>
    </row>
    <row r="724">
      <c r="C724" s="28"/>
      <c r="D724" s="28"/>
      <c r="F724" s="28"/>
      <c r="G724" s="28"/>
      <c r="H724" s="28"/>
      <c r="I724" s="106"/>
      <c r="J724" s="107"/>
      <c r="K724" s="28"/>
    </row>
    <row r="725">
      <c r="C725" s="28"/>
      <c r="D725" s="28"/>
      <c r="F725" s="28"/>
      <c r="G725" s="28"/>
      <c r="H725" s="28"/>
      <c r="I725" s="106"/>
      <c r="J725" s="107"/>
      <c r="K725" s="28"/>
    </row>
    <row r="726">
      <c r="C726" s="28"/>
      <c r="D726" s="28"/>
      <c r="F726" s="28"/>
      <c r="G726" s="28"/>
      <c r="H726" s="28"/>
      <c r="I726" s="106"/>
      <c r="J726" s="107"/>
      <c r="K726" s="28"/>
    </row>
    <row r="727">
      <c r="C727" s="28"/>
      <c r="D727" s="28"/>
      <c r="F727" s="28"/>
      <c r="G727" s="28"/>
      <c r="H727" s="28"/>
      <c r="I727" s="106"/>
      <c r="J727" s="107"/>
      <c r="K727" s="28"/>
    </row>
    <row r="728">
      <c r="C728" s="28"/>
      <c r="D728" s="28"/>
      <c r="F728" s="28"/>
      <c r="G728" s="28"/>
      <c r="H728" s="28"/>
      <c r="I728" s="106"/>
      <c r="J728" s="107"/>
      <c r="K728" s="28"/>
    </row>
    <row r="729">
      <c r="C729" s="28"/>
      <c r="D729" s="28"/>
      <c r="F729" s="28"/>
      <c r="G729" s="28"/>
      <c r="H729" s="28"/>
      <c r="I729" s="106"/>
      <c r="J729" s="107"/>
      <c r="K729" s="28"/>
    </row>
    <row r="730">
      <c r="C730" s="28"/>
      <c r="D730" s="28"/>
      <c r="F730" s="28"/>
      <c r="G730" s="28"/>
      <c r="H730" s="28"/>
      <c r="I730" s="106"/>
      <c r="J730" s="107"/>
      <c r="K730" s="28"/>
    </row>
    <row r="731">
      <c r="C731" s="28"/>
      <c r="D731" s="28"/>
      <c r="F731" s="28"/>
      <c r="G731" s="28"/>
      <c r="H731" s="28"/>
      <c r="I731" s="106"/>
      <c r="J731" s="107"/>
      <c r="K731" s="28"/>
    </row>
    <row r="732">
      <c r="C732" s="28"/>
      <c r="D732" s="28"/>
      <c r="F732" s="28"/>
      <c r="G732" s="28"/>
      <c r="H732" s="28"/>
      <c r="I732" s="106"/>
      <c r="J732" s="107"/>
      <c r="K732" s="28"/>
    </row>
    <row r="733">
      <c r="C733" s="28"/>
      <c r="D733" s="28"/>
      <c r="F733" s="28"/>
      <c r="G733" s="28"/>
      <c r="H733" s="28"/>
      <c r="I733" s="106"/>
      <c r="J733" s="107"/>
      <c r="K733" s="28"/>
    </row>
    <row r="734">
      <c r="C734" s="28"/>
      <c r="D734" s="28"/>
      <c r="F734" s="28"/>
      <c r="G734" s="28"/>
      <c r="H734" s="28"/>
      <c r="I734" s="106"/>
      <c r="J734" s="107"/>
      <c r="K734" s="28"/>
    </row>
    <row r="735">
      <c r="C735" s="28"/>
      <c r="D735" s="28"/>
      <c r="F735" s="28"/>
      <c r="G735" s="28"/>
      <c r="H735" s="28"/>
      <c r="I735" s="106"/>
      <c r="J735" s="107"/>
      <c r="K735" s="28"/>
    </row>
    <row r="736">
      <c r="C736" s="28"/>
      <c r="D736" s="28"/>
      <c r="F736" s="28"/>
      <c r="G736" s="28"/>
      <c r="H736" s="28"/>
      <c r="I736" s="106"/>
      <c r="J736" s="107"/>
      <c r="K736" s="28"/>
    </row>
    <row r="737">
      <c r="C737" s="28"/>
      <c r="D737" s="28"/>
      <c r="F737" s="28"/>
      <c r="G737" s="28"/>
      <c r="H737" s="28"/>
      <c r="I737" s="106"/>
      <c r="J737" s="107"/>
      <c r="K737" s="28"/>
    </row>
    <row r="738">
      <c r="C738" s="28"/>
      <c r="D738" s="28"/>
      <c r="F738" s="28"/>
      <c r="G738" s="28"/>
      <c r="H738" s="28"/>
      <c r="I738" s="106"/>
      <c r="J738" s="107"/>
      <c r="K738" s="28"/>
    </row>
    <row r="739">
      <c r="C739" s="28"/>
      <c r="D739" s="28"/>
      <c r="F739" s="28"/>
      <c r="G739" s="28"/>
      <c r="H739" s="28"/>
      <c r="I739" s="106"/>
      <c r="J739" s="107"/>
      <c r="K739" s="28"/>
    </row>
    <row r="740">
      <c r="C740" s="28"/>
      <c r="D740" s="28"/>
      <c r="F740" s="28"/>
      <c r="G740" s="28"/>
      <c r="H740" s="28"/>
      <c r="I740" s="106"/>
      <c r="J740" s="107"/>
      <c r="K740" s="28"/>
    </row>
    <row r="741">
      <c r="C741" s="28"/>
      <c r="D741" s="28"/>
      <c r="F741" s="28"/>
      <c r="G741" s="28"/>
      <c r="H741" s="28"/>
      <c r="I741" s="106"/>
      <c r="J741" s="107"/>
      <c r="K741" s="28"/>
    </row>
    <row r="742">
      <c r="C742" s="28"/>
      <c r="D742" s="28"/>
      <c r="F742" s="28"/>
      <c r="G742" s="28"/>
      <c r="H742" s="28"/>
      <c r="I742" s="106"/>
      <c r="J742" s="107"/>
      <c r="K742" s="28"/>
    </row>
    <row r="743">
      <c r="C743" s="28"/>
      <c r="D743" s="28"/>
      <c r="F743" s="28"/>
      <c r="G743" s="28"/>
      <c r="H743" s="28"/>
      <c r="I743" s="106"/>
      <c r="J743" s="107"/>
      <c r="K743" s="28"/>
    </row>
    <row r="744">
      <c r="C744" s="28"/>
      <c r="D744" s="28"/>
      <c r="F744" s="28"/>
      <c r="G744" s="28"/>
      <c r="H744" s="28"/>
      <c r="I744" s="106"/>
      <c r="J744" s="107"/>
      <c r="K744" s="28"/>
    </row>
    <row r="745">
      <c r="C745" s="28"/>
      <c r="D745" s="28"/>
      <c r="F745" s="28"/>
      <c r="G745" s="28"/>
      <c r="H745" s="28"/>
      <c r="I745" s="106"/>
      <c r="J745" s="107"/>
      <c r="K745" s="28"/>
    </row>
    <row r="746">
      <c r="C746" s="28"/>
      <c r="D746" s="28"/>
      <c r="F746" s="28"/>
      <c r="G746" s="28"/>
      <c r="H746" s="28"/>
      <c r="I746" s="106"/>
      <c r="J746" s="107"/>
      <c r="K746" s="28"/>
    </row>
    <row r="747">
      <c r="C747" s="28"/>
      <c r="D747" s="28"/>
      <c r="F747" s="28"/>
      <c r="G747" s="28"/>
      <c r="H747" s="28"/>
      <c r="I747" s="106"/>
      <c r="J747" s="107"/>
      <c r="K747" s="28"/>
    </row>
    <row r="748">
      <c r="C748" s="28"/>
      <c r="D748" s="28"/>
      <c r="F748" s="28"/>
      <c r="G748" s="28"/>
      <c r="H748" s="28"/>
      <c r="I748" s="106"/>
      <c r="J748" s="107"/>
      <c r="K748" s="28"/>
    </row>
    <row r="749">
      <c r="C749" s="28"/>
      <c r="D749" s="28"/>
      <c r="F749" s="28"/>
      <c r="G749" s="28"/>
      <c r="H749" s="28"/>
      <c r="I749" s="106"/>
      <c r="J749" s="107"/>
      <c r="K749" s="28"/>
    </row>
    <row r="750">
      <c r="C750" s="28"/>
      <c r="D750" s="28"/>
      <c r="F750" s="28"/>
      <c r="G750" s="28"/>
      <c r="H750" s="28"/>
      <c r="I750" s="106"/>
      <c r="J750" s="107"/>
      <c r="K750" s="28"/>
    </row>
    <row r="751">
      <c r="C751" s="28"/>
      <c r="D751" s="28"/>
      <c r="F751" s="28"/>
      <c r="G751" s="28"/>
      <c r="H751" s="28"/>
      <c r="I751" s="106"/>
      <c r="J751" s="107"/>
      <c r="K751" s="28"/>
    </row>
    <row r="752">
      <c r="C752" s="28"/>
      <c r="D752" s="28"/>
      <c r="F752" s="28"/>
      <c r="G752" s="28"/>
      <c r="H752" s="28"/>
      <c r="I752" s="106"/>
      <c r="J752" s="107"/>
      <c r="K752" s="28"/>
    </row>
    <row r="753">
      <c r="C753" s="28"/>
      <c r="D753" s="28"/>
      <c r="F753" s="28"/>
      <c r="G753" s="28"/>
      <c r="H753" s="28"/>
      <c r="I753" s="106"/>
      <c r="J753" s="107"/>
      <c r="K753" s="28"/>
    </row>
    <row r="754">
      <c r="C754" s="28"/>
      <c r="D754" s="28"/>
      <c r="F754" s="28"/>
      <c r="G754" s="28"/>
      <c r="H754" s="28"/>
      <c r="I754" s="106"/>
      <c r="J754" s="107"/>
      <c r="K754" s="28"/>
    </row>
    <row r="755">
      <c r="C755" s="28"/>
      <c r="D755" s="28"/>
      <c r="F755" s="28"/>
      <c r="G755" s="28"/>
      <c r="H755" s="28"/>
      <c r="I755" s="106"/>
      <c r="J755" s="107"/>
      <c r="K755" s="28"/>
    </row>
    <row r="756">
      <c r="C756" s="28"/>
      <c r="D756" s="28"/>
      <c r="F756" s="28"/>
      <c r="G756" s="28"/>
      <c r="H756" s="28"/>
      <c r="I756" s="106"/>
      <c r="J756" s="107"/>
      <c r="K756" s="28"/>
    </row>
    <row r="757">
      <c r="C757" s="28"/>
      <c r="D757" s="28"/>
      <c r="F757" s="28"/>
      <c r="G757" s="28"/>
      <c r="H757" s="28"/>
      <c r="I757" s="106"/>
      <c r="J757" s="107"/>
      <c r="K757" s="28"/>
    </row>
    <row r="758">
      <c r="C758" s="28"/>
      <c r="D758" s="28"/>
      <c r="F758" s="28"/>
      <c r="G758" s="28"/>
      <c r="H758" s="28"/>
      <c r="I758" s="106"/>
      <c r="J758" s="107"/>
      <c r="K758" s="28"/>
    </row>
    <row r="759">
      <c r="C759" s="28"/>
      <c r="D759" s="28"/>
      <c r="F759" s="28"/>
      <c r="G759" s="28"/>
      <c r="H759" s="28"/>
      <c r="I759" s="106"/>
      <c r="J759" s="107"/>
      <c r="K759" s="28"/>
    </row>
    <row r="760">
      <c r="C760" s="28"/>
      <c r="D760" s="28"/>
      <c r="F760" s="28"/>
      <c r="G760" s="28"/>
      <c r="H760" s="28"/>
      <c r="I760" s="106"/>
      <c r="J760" s="107"/>
      <c r="K760" s="28"/>
    </row>
    <row r="761">
      <c r="C761" s="28"/>
      <c r="D761" s="28"/>
      <c r="F761" s="28"/>
      <c r="G761" s="28"/>
      <c r="H761" s="28"/>
      <c r="I761" s="106"/>
      <c r="J761" s="107"/>
      <c r="K761" s="28"/>
    </row>
    <row r="762">
      <c r="C762" s="28"/>
      <c r="D762" s="28"/>
      <c r="F762" s="28"/>
      <c r="G762" s="28"/>
      <c r="H762" s="28"/>
      <c r="I762" s="106"/>
      <c r="J762" s="107"/>
      <c r="K762" s="28"/>
    </row>
    <row r="763">
      <c r="C763" s="28"/>
      <c r="D763" s="28"/>
      <c r="F763" s="28"/>
      <c r="G763" s="28"/>
      <c r="H763" s="28"/>
      <c r="I763" s="106"/>
      <c r="J763" s="107"/>
      <c r="K763" s="28"/>
    </row>
    <row r="764">
      <c r="C764" s="28"/>
      <c r="D764" s="28"/>
      <c r="F764" s="28"/>
      <c r="G764" s="28"/>
      <c r="H764" s="28"/>
      <c r="I764" s="106"/>
      <c r="J764" s="107"/>
      <c r="K764" s="28"/>
    </row>
    <row r="765">
      <c r="C765" s="28"/>
      <c r="D765" s="28"/>
      <c r="F765" s="28"/>
      <c r="G765" s="28"/>
      <c r="H765" s="28"/>
      <c r="I765" s="106"/>
      <c r="J765" s="107"/>
      <c r="K765" s="28"/>
    </row>
    <row r="766">
      <c r="C766" s="28"/>
      <c r="D766" s="28"/>
      <c r="F766" s="28"/>
      <c r="G766" s="28"/>
      <c r="H766" s="28"/>
      <c r="I766" s="106"/>
      <c r="J766" s="107"/>
      <c r="K766" s="28"/>
    </row>
    <row r="767">
      <c r="C767" s="28"/>
      <c r="D767" s="28"/>
      <c r="F767" s="28"/>
      <c r="G767" s="28"/>
      <c r="H767" s="28"/>
      <c r="I767" s="106"/>
      <c r="J767" s="107"/>
      <c r="K767" s="28"/>
    </row>
    <row r="768">
      <c r="C768" s="28"/>
      <c r="D768" s="28"/>
      <c r="F768" s="28"/>
      <c r="G768" s="28"/>
      <c r="H768" s="28"/>
      <c r="I768" s="106"/>
      <c r="J768" s="107"/>
      <c r="K768" s="28"/>
    </row>
    <row r="769">
      <c r="C769" s="28"/>
      <c r="D769" s="28"/>
      <c r="F769" s="28"/>
      <c r="G769" s="28"/>
      <c r="H769" s="28"/>
      <c r="I769" s="106"/>
      <c r="J769" s="107"/>
      <c r="K769" s="28"/>
    </row>
    <row r="770">
      <c r="C770" s="28"/>
      <c r="D770" s="28"/>
      <c r="F770" s="28"/>
      <c r="G770" s="28"/>
      <c r="H770" s="28"/>
      <c r="I770" s="106"/>
      <c r="J770" s="107"/>
      <c r="K770" s="28"/>
    </row>
    <row r="771">
      <c r="C771" s="28"/>
      <c r="D771" s="28"/>
      <c r="F771" s="28"/>
      <c r="G771" s="28"/>
      <c r="H771" s="28"/>
      <c r="I771" s="106"/>
      <c r="J771" s="107"/>
      <c r="K771" s="28"/>
    </row>
    <row r="772">
      <c r="C772" s="28"/>
      <c r="D772" s="28"/>
      <c r="F772" s="28"/>
      <c r="G772" s="28"/>
      <c r="H772" s="28"/>
      <c r="I772" s="106"/>
      <c r="J772" s="107"/>
      <c r="K772" s="28"/>
    </row>
    <row r="773">
      <c r="C773" s="28"/>
      <c r="D773" s="28"/>
      <c r="F773" s="28"/>
      <c r="G773" s="28"/>
      <c r="H773" s="28"/>
      <c r="I773" s="106"/>
      <c r="J773" s="107"/>
      <c r="K773" s="28"/>
    </row>
    <row r="774">
      <c r="C774" s="28"/>
      <c r="D774" s="28"/>
      <c r="F774" s="28"/>
      <c r="G774" s="28"/>
      <c r="H774" s="28"/>
      <c r="I774" s="106"/>
      <c r="J774" s="107"/>
      <c r="K774" s="28"/>
    </row>
    <row r="775">
      <c r="C775" s="28"/>
      <c r="D775" s="28"/>
      <c r="F775" s="28"/>
      <c r="G775" s="28"/>
      <c r="H775" s="28"/>
      <c r="I775" s="106"/>
      <c r="J775" s="107"/>
      <c r="K775" s="28"/>
    </row>
    <row r="776">
      <c r="C776" s="28"/>
      <c r="D776" s="28"/>
      <c r="F776" s="28"/>
      <c r="G776" s="28"/>
      <c r="H776" s="28"/>
      <c r="I776" s="106"/>
      <c r="J776" s="107"/>
      <c r="K776" s="28"/>
    </row>
    <row r="777">
      <c r="C777" s="28"/>
      <c r="D777" s="28"/>
      <c r="F777" s="28"/>
      <c r="G777" s="28"/>
      <c r="H777" s="28"/>
      <c r="I777" s="106"/>
      <c r="J777" s="107"/>
      <c r="K777" s="28"/>
    </row>
    <row r="778">
      <c r="C778" s="28"/>
      <c r="D778" s="28"/>
      <c r="F778" s="28"/>
      <c r="G778" s="28"/>
      <c r="H778" s="28"/>
      <c r="I778" s="106"/>
      <c r="J778" s="107"/>
      <c r="K778" s="28"/>
    </row>
    <row r="779">
      <c r="C779" s="28"/>
      <c r="D779" s="28"/>
      <c r="F779" s="28"/>
      <c r="G779" s="28"/>
      <c r="H779" s="28"/>
      <c r="I779" s="106"/>
      <c r="J779" s="107"/>
      <c r="K779" s="28"/>
    </row>
    <row r="780">
      <c r="C780" s="28"/>
      <c r="D780" s="28"/>
      <c r="F780" s="28"/>
      <c r="G780" s="28"/>
      <c r="H780" s="28"/>
      <c r="I780" s="106"/>
      <c r="J780" s="107"/>
      <c r="K780" s="28"/>
    </row>
    <row r="781">
      <c r="C781" s="28"/>
      <c r="D781" s="28"/>
      <c r="F781" s="28"/>
      <c r="G781" s="28"/>
      <c r="H781" s="28"/>
      <c r="I781" s="106"/>
      <c r="J781" s="107"/>
      <c r="K781" s="28"/>
    </row>
    <row r="782">
      <c r="C782" s="28"/>
      <c r="D782" s="28"/>
      <c r="F782" s="28"/>
      <c r="G782" s="28"/>
      <c r="H782" s="28"/>
      <c r="I782" s="106"/>
      <c r="J782" s="107"/>
      <c r="K782" s="28"/>
    </row>
    <row r="783">
      <c r="C783" s="28"/>
      <c r="D783" s="28"/>
      <c r="F783" s="28"/>
      <c r="G783" s="28"/>
      <c r="H783" s="28"/>
      <c r="I783" s="106"/>
      <c r="J783" s="107"/>
      <c r="K783" s="28"/>
    </row>
    <row r="784">
      <c r="C784" s="28"/>
      <c r="D784" s="28"/>
      <c r="F784" s="28"/>
      <c r="G784" s="28"/>
      <c r="H784" s="28"/>
      <c r="I784" s="106"/>
      <c r="J784" s="107"/>
      <c r="K784" s="28"/>
    </row>
    <row r="785">
      <c r="C785" s="28"/>
      <c r="D785" s="28"/>
      <c r="F785" s="28"/>
      <c r="G785" s="28"/>
      <c r="H785" s="28"/>
      <c r="I785" s="106"/>
      <c r="J785" s="107"/>
      <c r="K785" s="28"/>
    </row>
    <row r="786">
      <c r="C786" s="28"/>
      <c r="D786" s="28"/>
      <c r="F786" s="28"/>
      <c r="G786" s="28"/>
      <c r="H786" s="28"/>
      <c r="I786" s="106"/>
      <c r="J786" s="107"/>
      <c r="K786" s="28"/>
    </row>
    <row r="787">
      <c r="C787" s="28"/>
      <c r="D787" s="28"/>
      <c r="F787" s="28"/>
      <c r="G787" s="28"/>
      <c r="H787" s="28"/>
      <c r="I787" s="106"/>
      <c r="J787" s="107"/>
      <c r="K787" s="28"/>
    </row>
    <row r="788">
      <c r="C788" s="28"/>
      <c r="D788" s="28"/>
      <c r="F788" s="28"/>
      <c r="G788" s="28"/>
      <c r="H788" s="28"/>
      <c r="I788" s="106"/>
      <c r="J788" s="107"/>
      <c r="K788" s="28"/>
    </row>
    <row r="789">
      <c r="C789" s="28"/>
      <c r="D789" s="28"/>
      <c r="F789" s="28"/>
      <c r="G789" s="28"/>
      <c r="H789" s="28"/>
      <c r="I789" s="106"/>
      <c r="J789" s="107"/>
      <c r="K789" s="28"/>
    </row>
    <row r="790">
      <c r="C790" s="28"/>
      <c r="D790" s="28"/>
      <c r="F790" s="28"/>
      <c r="G790" s="28"/>
      <c r="H790" s="28"/>
      <c r="I790" s="106"/>
      <c r="J790" s="107"/>
      <c r="K790" s="28"/>
    </row>
    <row r="791">
      <c r="C791" s="28"/>
      <c r="D791" s="28"/>
      <c r="F791" s="28"/>
      <c r="G791" s="28"/>
      <c r="H791" s="28"/>
      <c r="I791" s="106"/>
      <c r="J791" s="107"/>
      <c r="K791" s="28"/>
    </row>
    <row r="792">
      <c r="C792" s="28"/>
      <c r="D792" s="28"/>
      <c r="F792" s="28"/>
      <c r="G792" s="28"/>
      <c r="H792" s="28"/>
      <c r="I792" s="106"/>
      <c r="J792" s="107"/>
      <c r="K792" s="28"/>
    </row>
    <row r="793">
      <c r="C793" s="28"/>
      <c r="D793" s="28"/>
      <c r="F793" s="28"/>
      <c r="G793" s="28"/>
      <c r="H793" s="28"/>
      <c r="I793" s="106"/>
      <c r="J793" s="107"/>
      <c r="K793" s="28"/>
    </row>
    <row r="794">
      <c r="C794" s="28"/>
      <c r="D794" s="28"/>
      <c r="F794" s="28"/>
      <c r="G794" s="28"/>
      <c r="H794" s="28"/>
      <c r="I794" s="106"/>
      <c r="J794" s="107"/>
      <c r="K794" s="28"/>
    </row>
    <row r="795">
      <c r="C795" s="28"/>
      <c r="D795" s="28"/>
      <c r="F795" s="28"/>
      <c r="G795" s="28"/>
      <c r="H795" s="28"/>
      <c r="I795" s="106"/>
      <c r="J795" s="107"/>
      <c r="K795" s="28"/>
    </row>
    <row r="796">
      <c r="C796" s="28"/>
      <c r="D796" s="28"/>
      <c r="F796" s="28"/>
      <c r="G796" s="28"/>
      <c r="H796" s="28"/>
      <c r="I796" s="106"/>
      <c r="J796" s="107"/>
      <c r="K796" s="28"/>
    </row>
    <row r="797">
      <c r="C797" s="28"/>
      <c r="D797" s="28"/>
      <c r="F797" s="28"/>
      <c r="G797" s="28"/>
      <c r="H797" s="28"/>
      <c r="I797" s="106"/>
      <c r="J797" s="107"/>
      <c r="K797" s="28"/>
    </row>
    <row r="798">
      <c r="C798" s="28"/>
      <c r="D798" s="28"/>
      <c r="F798" s="28"/>
      <c r="G798" s="28"/>
      <c r="H798" s="28"/>
      <c r="I798" s="106"/>
      <c r="J798" s="107"/>
      <c r="K798" s="28"/>
    </row>
    <row r="799">
      <c r="C799" s="28"/>
      <c r="D799" s="28"/>
      <c r="F799" s="28"/>
      <c r="G799" s="28"/>
      <c r="H799" s="28"/>
      <c r="I799" s="106"/>
      <c r="J799" s="107"/>
      <c r="K799" s="28"/>
    </row>
    <row r="800">
      <c r="C800" s="28"/>
      <c r="D800" s="28"/>
      <c r="F800" s="28"/>
      <c r="G800" s="28"/>
      <c r="H800" s="28"/>
      <c r="I800" s="106"/>
      <c r="J800" s="107"/>
      <c r="K800" s="28"/>
    </row>
    <row r="801">
      <c r="C801" s="28"/>
      <c r="D801" s="28"/>
      <c r="F801" s="28"/>
      <c r="G801" s="28"/>
      <c r="H801" s="28"/>
      <c r="I801" s="106"/>
      <c r="J801" s="107"/>
      <c r="K801" s="28"/>
    </row>
    <row r="802">
      <c r="C802" s="28"/>
      <c r="D802" s="28"/>
      <c r="F802" s="28"/>
      <c r="G802" s="28"/>
      <c r="H802" s="28"/>
      <c r="I802" s="106"/>
      <c r="J802" s="107"/>
      <c r="K802" s="28"/>
    </row>
    <row r="803">
      <c r="C803" s="28"/>
      <c r="D803" s="28"/>
      <c r="F803" s="28"/>
      <c r="G803" s="28"/>
      <c r="H803" s="28"/>
      <c r="I803" s="106"/>
      <c r="J803" s="107"/>
      <c r="K803" s="28"/>
    </row>
    <row r="804">
      <c r="C804" s="28"/>
      <c r="D804" s="28"/>
      <c r="F804" s="28"/>
      <c r="G804" s="28"/>
      <c r="H804" s="28"/>
      <c r="I804" s="106"/>
      <c r="J804" s="107"/>
      <c r="K804" s="28"/>
    </row>
    <row r="805">
      <c r="C805" s="28"/>
      <c r="D805" s="28"/>
      <c r="F805" s="28"/>
      <c r="G805" s="28"/>
      <c r="H805" s="28"/>
      <c r="I805" s="106"/>
      <c r="J805" s="107"/>
      <c r="K805" s="28"/>
    </row>
    <row r="806">
      <c r="C806" s="28"/>
      <c r="D806" s="28"/>
      <c r="F806" s="28"/>
      <c r="G806" s="28"/>
      <c r="H806" s="28"/>
      <c r="I806" s="106"/>
      <c r="J806" s="107"/>
      <c r="K806" s="28"/>
    </row>
    <row r="807">
      <c r="C807" s="28"/>
      <c r="D807" s="28"/>
      <c r="F807" s="28"/>
      <c r="G807" s="28"/>
      <c r="H807" s="28"/>
      <c r="I807" s="106"/>
      <c r="J807" s="107"/>
      <c r="K807" s="28"/>
    </row>
    <row r="808">
      <c r="C808" s="28"/>
      <c r="D808" s="28"/>
      <c r="F808" s="28"/>
      <c r="G808" s="28"/>
      <c r="H808" s="28"/>
      <c r="I808" s="106"/>
      <c r="J808" s="107"/>
      <c r="K808" s="28"/>
    </row>
    <row r="809">
      <c r="C809" s="28"/>
      <c r="D809" s="28"/>
      <c r="F809" s="28"/>
      <c r="G809" s="28"/>
      <c r="H809" s="28"/>
      <c r="I809" s="106"/>
      <c r="J809" s="107"/>
      <c r="K809" s="28"/>
    </row>
    <row r="810">
      <c r="C810" s="28"/>
      <c r="D810" s="28"/>
      <c r="F810" s="28"/>
      <c r="G810" s="28"/>
      <c r="H810" s="28"/>
      <c r="I810" s="106"/>
      <c r="J810" s="107"/>
      <c r="K810" s="28"/>
    </row>
    <row r="811">
      <c r="C811" s="28"/>
      <c r="D811" s="28"/>
      <c r="F811" s="28"/>
      <c r="G811" s="28"/>
      <c r="H811" s="28"/>
      <c r="I811" s="106"/>
      <c r="J811" s="107"/>
      <c r="K811" s="28"/>
    </row>
    <row r="812">
      <c r="C812" s="28"/>
      <c r="D812" s="28"/>
      <c r="F812" s="28"/>
      <c r="G812" s="28"/>
      <c r="H812" s="28"/>
      <c r="I812" s="106"/>
      <c r="J812" s="107"/>
      <c r="K812" s="28"/>
    </row>
    <row r="813">
      <c r="C813" s="28"/>
      <c r="D813" s="28"/>
      <c r="F813" s="28"/>
      <c r="G813" s="28"/>
      <c r="H813" s="28"/>
      <c r="I813" s="106"/>
      <c r="J813" s="107"/>
      <c r="K813" s="28"/>
    </row>
    <row r="814">
      <c r="C814" s="28"/>
      <c r="D814" s="28"/>
      <c r="F814" s="28"/>
      <c r="G814" s="28"/>
      <c r="H814" s="28"/>
      <c r="I814" s="106"/>
      <c r="J814" s="107"/>
      <c r="K814" s="28"/>
    </row>
    <row r="815">
      <c r="C815" s="28"/>
      <c r="D815" s="28"/>
      <c r="F815" s="28"/>
      <c r="G815" s="28"/>
      <c r="H815" s="28"/>
      <c r="I815" s="106"/>
      <c r="J815" s="107"/>
      <c r="K815" s="28"/>
    </row>
    <row r="816">
      <c r="C816" s="28"/>
      <c r="D816" s="28"/>
      <c r="F816" s="28"/>
      <c r="G816" s="28"/>
      <c r="H816" s="28"/>
      <c r="I816" s="106"/>
      <c r="J816" s="107"/>
      <c r="K816" s="28"/>
    </row>
    <row r="817">
      <c r="C817" s="28"/>
      <c r="D817" s="28"/>
      <c r="F817" s="28"/>
      <c r="G817" s="28"/>
      <c r="H817" s="28"/>
      <c r="I817" s="106"/>
      <c r="J817" s="107"/>
      <c r="K817" s="28"/>
    </row>
    <row r="818">
      <c r="C818" s="28"/>
      <c r="D818" s="28"/>
      <c r="F818" s="28"/>
      <c r="G818" s="28"/>
      <c r="H818" s="28"/>
      <c r="I818" s="106"/>
      <c r="J818" s="107"/>
      <c r="K818" s="28"/>
    </row>
    <row r="819">
      <c r="C819" s="28"/>
      <c r="D819" s="28"/>
      <c r="F819" s="28"/>
      <c r="G819" s="28"/>
      <c r="H819" s="28"/>
      <c r="I819" s="106"/>
      <c r="J819" s="107"/>
      <c r="K819" s="28"/>
    </row>
    <row r="820">
      <c r="C820" s="28"/>
      <c r="D820" s="28"/>
      <c r="F820" s="28"/>
      <c r="G820" s="28"/>
      <c r="H820" s="28"/>
      <c r="I820" s="106"/>
      <c r="J820" s="107"/>
      <c r="K820" s="28"/>
    </row>
    <row r="821">
      <c r="C821" s="28"/>
      <c r="D821" s="28"/>
      <c r="F821" s="28"/>
      <c r="G821" s="28"/>
      <c r="H821" s="28"/>
      <c r="I821" s="106"/>
      <c r="J821" s="107"/>
      <c r="K821" s="28"/>
    </row>
    <row r="822">
      <c r="C822" s="28"/>
      <c r="D822" s="28"/>
      <c r="F822" s="28"/>
      <c r="G822" s="28"/>
      <c r="H822" s="28"/>
      <c r="I822" s="106"/>
      <c r="J822" s="107"/>
      <c r="K822" s="28"/>
    </row>
    <row r="823">
      <c r="C823" s="28"/>
      <c r="D823" s="28"/>
      <c r="F823" s="28"/>
      <c r="G823" s="28"/>
      <c r="H823" s="28"/>
      <c r="I823" s="106"/>
      <c r="J823" s="107"/>
      <c r="K823" s="28"/>
    </row>
    <row r="824">
      <c r="C824" s="28"/>
      <c r="D824" s="28"/>
      <c r="F824" s="28"/>
      <c r="G824" s="28"/>
      <c r="H824" s="28"/>
      <c r="I824" s="106"/>
      <c r="J824" s="107"/>
      <c r="K824" s="28"/>
    </row>
    <row r="825">
      <c r="C825" s="28"/>
      <c r="D825" s="28"/>
      <c r="F825" s="28"/>
      <c r="G825" s="28"/>
      <c r="H825" s="28"/>
      <c r="I825" s="106"/>
      <c r="J825" s="107"/>
      <c r="K825" s="28"/>
    </row>
    <row r="826">
      <c r="C826" s="28"/>
      <c r="D826" s="28"/>
      <c r="F826" s="28"/>
      <c r="G826" s="28"/>
      <c r="H826" s="28"/>
      <c r="I826" s="106"/>
      <c r="J826" s="107"/>
      <c r="K826" s="28"/>
    </row>
    <row r="827">
      <c r="C827" s="28"/>
      <c r="D827" s="28"/>
      <c r="F827" s="28"/>
      <c r="G827" s="28"/>
      <c r="H827" s="28"/>
      <c r="I827" s="106"/>
      <c r="J827" s="107"/>
      <c r="K827" s="28"/>
    </row>
    <row r="828">
      <c r="C828" s="28"/>
      <c r="D828" s="28"/>
      <c r="F828" s="28"/>
      <c r="G828" s="28"/>
      <c r="H828" s="28"/>
      <c r="I828" s="106"/>
      <c r="J828" s="107"/>
      <c r="K828" s="28"/>
    </row>
    <row r="829">
      <c r="C829" s="28"/>
      <c r="D829" s="28"/>
      <c r="F829" s="28"/>
      <c r="G829" s="28"/>
      <c r="H829" s="28"/>
      <c r="I829" s="106"/>
      <c r="J829" s="107"/>
      <c r="K829" s="28"/>
    </row>
    <row r="830">
      <c r="C830" s="28"/>
      <c r="D830" s="28"/>
      <c r="F830" s="28"/>
      <c r="G830" s="28"/>
      <c r="H830" s="28"/>
      <c r="I830" s="106"/>
      <c r="J830" s="107"/>
      <c r="K830" s="28"/>
    </row>
    <row r="831">
      <c r="C831" s="28"/>
      <c r="D831" s="28"/>
      <c r="F831" s="28"/>
      <c r="G831" s="28"/>
      <c r="H831" s="28"/>
      <c r="I831" s="106"/>
      <c r="J831" s="107"/>
      <c r="K831" s="28"/>
    </row>
    <row r="832">
      <c r="C832" s="28"/>
      <c r="D832" s="28"/>
      <c r="F832" s="28"/>
      <c r="G832" s="28"/>
      <c r="H832" s="28"/>
      <c r="I832" s="106"/>
      <c r="J832" s="107"/>
      <c r="K832" s="28"/>
    </row>
    <row r="833">
      <c r="C833" s="28"/>
      <c r="D833" s="28"/>
      <c r="F833" s="28"/>
      <c r="G833" s="28"/>
      <c r="H833" s="28"/>
      <c r="I833" s="106"/>
      <c r="J833" s="107"/>
      <c r="K833" s="28"/>
    </row>
    <row r="834">
      <c r="C834" s="28"/>
      <c r="D834" s="28"/>
      <c r="F834" s="28"/>
      <c r="G834" s="28"/>
      <c r="H834" s="28"/>
      <c r="I834" s="106"/>
      <c r="J834" s="107"/>
      <c r="K834" s="28"/>
    </row>
    <row r="835">
      <c r="C835" s="28"/>
      <c r="D835" s="28"/>
      <c r="F835" s="28"/>
      <c r="G835" s="28"/>
      <c r="H835" s="28"/>
      <c r="I835" s="106"/>
      <c r="J835" s="107"/>
      <c r="K835" s="28"/>
    </row>
    <row r="836">
      <c r="C836" s="28"/>
      <c r="D836" s="28"/>
      <c r="F836" s="28"/>
      <c r="G836" s="28"/>
      <c r="H836" s="28"/>
      <c r="I836" s="106"/>
      <c r="J836" s="107"/>
      <c r="K836" s="28"/>
    </row>
    <row r="837">
      <c r="C837" s="28"/>
      <c r="D837" s="28"/>
      <c r="F837" s="28"/>
      <c r="G837" s="28"/>
      <c r="H837" s="28"/>
      <c r="I837" s="106"/>
      <c r="J837" s="107"/>
      <c r="K837" s="28"/>
    </row>
    <row r="838">
      <c r="C838" s="28"/>
      <c r="D838" s="28"/>
      <c r="F838" s="28"/>
      <c r="G838" s="28"/>
      <c r="H838" s="28"/>
      <c r="I838" s="106"/>
      <c r="J838" s="107"/>
      <c r="K838" s="28"/>
    </row>
    <row r="839">
      <c r="C839" s="28"/>
      <c r="D839" s="28"/>
      <c r="F839" s="28"/>
      <c r="G839" s="28"/>
      <c r="H839" s="28"/>
      <c r="I839" s="106"/>
      <c r="J839" s="107"/>
      <c r="K839" s="28"/>
    </row>
    <row r="840">
      <c r="C840" s="28"/>
      <c r="D840" s="28"/>
      <c r="F840" s="28"/>
      <c r="G840" s="28"/>
      <c r="H840" s="28"/>
      <c r="I840" s="106"/>
      <c r="J840" s="107"/>
      <c r="K840" s="28"/>
    </row>
    <row r="841">
      <c r="C841" s="28"/>
      <c r="D841" s="28"/>
      <c r="F841" s="28"/>
      <c r="G841" s="28"/>
      <c r="H841" s="28"/>
      <c r="I841" s="106"/>
      <c r="J841" s="107"/>
      <c r="K841" s="28"/>
    </row>
    <row r="842">
      <c r="C842" s="28"/>
      <c r="D842" s="28"/>
      <c r="F842" s="28"/>
      <c r="G842" s="28"/>
      <c r="H842" s="28"/>
      <c r="I842" s="106"/>
      <c r="J842" s="107"/>
      <c r="K842" s="28"/>
    </row>
    <row r="843">
      <c r="C843" s="28"/>
      <c r="D843" s="28"/>
      <c r="F843" s="28"/>
      <c r="G843" s="28"/>
      <c r="H843" s="28"/>
      <c r="I843" s="106"/>
      <c r="J843" s="107"/>
      <c r="K843" s="28"/>
    </row>
    <row r="844">
      <c r="C844" s="28"/>
      <c r="D844" s="28"/>
      <c r="F844" s="28"/>
      <c r="G844" s="28"/>
      <c r="H844" s="28"/>
      <c r="I844" s="106"/>
      <c r="J844" s="107"/>
      <c r="K844" s="28"/>
    </row>
    <row r="845">
      <c r="C845" s="28"/>
      <c r="D845" s="28"/>
      <c r="F845" s="28"/>
      <c r="G845" s="28"/>
      <c r="H845" s="28"/>
      <c r="I845" s="106"/>
      <c r="J845" s="107"/>
      <c r="K845" s="28"/>
    </row>
    <row r="846">
      <c r="C846" s="28"/>
      <c r="D846" s="28"/>
      <c r="F846" s="28"/>
      <c r="G846" s="28"/>
      <c r="H846" s="28"/>
      <c r="I846" s="106"/>
      <c r="J846" s="107"/>
      <c r="K846" s="28"/>
    </row>
    <row r="847">
      <c r="C847" s="28"/>
      <c r="D847" s="28"/>
      <c r="F847" s="28"/>
      <c r="G847" s="28"/>
      <c r="H847" s="28"/>
      <c r="I847" s="106"/>
      <c r="J847" s="107"/>
      <c r="K847" s="28"/>
    </row>
    <row r="848">
      <c r="C848" s="28"/>
      <c r="D848" s="28"/>
      <c r="F848" s="28"/>
      <c r="G848" s="28"/>
      <c r="H848" s="28"/>
      <c r="I848" s="106"/>
      <c r="J848" s="107"/>
      <c r="K848" s="28"/>
    </row>
    <row r="849">
      <c r="C849" s="28"/>
      <c r="D849" s="28"/>
      <c r="F849" s="28"/>
      <c r="G849" s="28"/>
      <c r="H849" s="28"/>
      <c r="I849" s="106"/>
      <c r="J849" s="107"/>
      <c r="K849" s="28"/>
    </row>
    <row r="850">
      <c r="C850" s="28"/>
      <c r="D850" s="28"/>
      <c r="F850" s="28"/>
      <c r="G850" s="28"/>
      <c r="H850" s="28"/>
      <c r="I850" s="106"/>
      <c r="J850" s="107"/>
      <c r="K850" s="28"/>
    </row>
    <row r="851">
      <c r="C851" s="28"/>
      <c r="D851" s="28"/>
      <c r="F851" s="28"/>
      <c r="G851" s="28"/>
      <c r="H851" s="28"/>
      <c r="I851" s="106"/>
      <c r="J851" s="107"/>
      <c r="K851" s="28"/>
    </row>
    <row r="852">
      <c r="C852" s="28"/>
      <c r="D852" s="28"/>
      <c r="F852" s="28"/>
      <c r="G852" s="28"/>
      <c r="H852" s="28"/>
      <c r="I852" s="106"/>
      <c r="J852" s="107"/>
      <c r="K852" s="28"/>
    </row>
    <row r="853">
      <c r="C853" s="28"/>
      <c r="D853" s="28"/>
      <c r="F853" s="28"/>
      <c r="G853" s="28"/>
      <c r="H853" s="28"/>
      <c r="I853" s="106"/>
      <c r="J853" s="107"/>
      <c r="K853" s="28"/>
    </row>
    <row r="854">
      <c r="C854" s="28"/>
      <c r="D854" s="28"/>
      <c r="F854" s="28"/>
      <c r="G854" s="28"/>
      <c r="H854" s="28"/>
      <c r="I854" s="106"/>
      <c r="J854" s="107"/>
      <c r="K854" s="28"/>
    </row>
    <row r="855">
      <c r="C855" s="28"/>
      <c r="D855" s="28"/>
      <c r="F855" s="28"/>
      <c r="G855" s="28"/>
      <c r="H855" s="28"/>
      <c r="I855" s="106"/>
      <c r="J855" s="107"/>
      <c r="K855" s="28"/>
    </row>
    <row r="856">
      <c r="C856" s="28"/>
      <c r="D856" s="28"/>
      <c r="F856" s="28"/>
      <c r="G856" s="28"/>
      <c r="H856" s="28"/>
      <c r="I856" s="106"/>
      <c r="J856" s="107"/>
      <c r="K856" s="28"/>
    </row>
    <row r="857">
      <c r="C857" s="28"/>
      <c r="D857" s="28"/>
      <c r="F857" s="28"/>
      <c r="G857" s="28"/>
      <c r="H857" s="28"/>
      <c r="I857" s="106"/>
      <c r="J857" s="107"/>
      <c r="K857" s="28"/>
    </row>
    <row r="858">
      <c r="C858" s="28"/>
      <c r="D858" s="28"/>
      <c r="F858" s="28"/>
      <c r="G858" s="28"/>
      <c r="H858" s="28"/>
      <c r="I858" s="106"/>
      <c r="J858" s="107"/>
      <c r="K858" s="28"/>
    </row>
    <row r="859">
      <c r="C859" s="28"/>
      <c r="D859" s="28"/>
      <c r="F859" s="28"/>
      <c r="G859" s="28"/>
      <c r="H859" s="28"/>
      <c r="I859" s="106"/>
      <c r="J859" s="107"/>
      <c r="K859" s="28"/>
    </row>
    <row r="860">
      <c r="C860" s="28"/>
      <c r="D860" s="28"/>
      <c r="F860" s="28"/>
      <c r="G860" s="28"/>
      <c r="H860" s="28"/>
      <c r="I860" s="106"/>
      <c r="J860" s="107"/>
      <c r="K860" s="28"/>
    </row>
    <row r="861">
      <c r="C861" s="28"/>
      <c r="D861" s="28"/>
      <c r="F861" s="28"/>
      <c r="G861" s="28"/>
      <c r="H861" s="28"/>
      <c r="I861" s="106"/>
      <c r="J861" s="107"/>
      <c r="K861" s="28"/>
    </row>
    <row r="862">
      <c r="C862" s="28"/>
      <c r="D862" s="28"/>
      <c r="F862" s="28"/>
      <c r="G862" s="28"/>
      <c r="H862" s="28"/>
      <c r="I862" s="106"/>
      <c r="J862" s="107"/>
      <c r="K862" s="28"/>
    </row>
    <row r="863">
      <c r="C863" s="28"/>
      <c r="D863" s="28"/>
      <c r="F863" s="28"/>
      <c r="G863" s="28"/>
      <c r="H863" s="28"/>
      <c r="I863" s="106"/>
      <c r="J863" s="107"/>
      <c r="K863" s="28"/>
    </row>
    <row r="864">
      <c r="C864" s="28"/>
      <c r="D864" s="28"/>
      <c r="F864" s="28"/>
      <c r="G864" s="28"/>
      <c r="H864" s="28"/>
      <c r="I864" s="106"/>
      <c r="J864" s="107"/>
      <c r="K864" s="28"/>
    </row>
    <row r="865">
      <c r="C865" s="28"/>
      <c r="D865" s="28"/>
      <c r="F865" s="28"/>
      <c r="G865" s="28"/>
      <c r="H865" s="28"/>
      <c r="I865" s="106"/>
      <c r="J865" s="107"/>
      <c r="K865" s="28"/>
    </row>
    <row r="866">
      <c r="C866" s="28"/>
      <c r="D866" s="28"/>
      <c r="F866" s="28"/>
      <c r="G866" s="28"/>
      <c r="H866" s="28"/>
      <c r="I866" s="106"/>
      <c r="J866" s="107"/>
      <c r="K866" s="28"/>
    </row>
    <row r="867">
      <c r="C867" s="28"/>
      <c r="D867" s="28"/>
      <c r="F867" s="28"/>
      <c r="G867" s="28"/>
      <c r="H867" s="28"/>
      <c r="I867" s="106"/>
      <c r="J867" s="107"/>
      <c r="K867" s="28"/>
    </row>
    <row r="868">
      <c r="C868" s="28"/>
      <c r="D868" s="28"/>
      <c r="F868" s="28"/>
      <c r="G868" s="28"/>
      <c r="H868" s="28"/>
      <c r="I868" s="106"/>
      <c r="J868" s="107"/>
      <c r="K868" s="28"/>
    </row>
    <row r="869">
      <c r="C869" s="28"/>
      <c r="D869" s="28"/>
      <c r="F869" s="28"/>
      <c r="G869" s="28"/>
      <c r="H869" s="28"/>
      <c r="I869" s="106"/>
      <c r="J869" s="107"/>
      <c r="K869" s="28"/>
    </row>
    <row r="870">
      <c r="C870" s="28"/>
      <c r="D870" s="28"/>
      <c r="F870" s="28"/>
      <c r="G870" s="28"/>
      <c r="H870" s="28"/>
      <c r="I870" s="106"/>
      <c r="J870" s="107"/>
      <c r="K870" s="28"/>
    </row>
    <row r="871">
      <c r="C871" s="28"/>
      <c r="D871" s="28"/>
      <c r="F871" s="28"/>
      <c r="G871" s="28"/>
      <c r="H871" s="28"/>
      <c r="I871" s="106"/>
      <c r="J871" s="107"/>
      <c r="K871" s="28"/>
    </row>
    <row r="872">
      <c r="C872" s="28"/>
      <c r="D872" s="28"/>
      <c r="F872" s="28"/>
      <c r="G872" s="28"/>
      <c r="H872" s="28"/>
      <c r="I872" s="106"/>
      <c r="J872" s="107"/>
      <c r="K872" s="28"/>
    </row>
    <row r="873">
      <c r="C873" s="28"/>
      <c r="D873" s="28"/>
      <c r="F873" s="28"/>
      <c r="G873" s="28"/>
      <c r="H873" s="28"/>
      <c r="I873" s="106"/>
      <c r="J873" s="107"/>
      <c r="K873" s="28"/>
    </row>
    <row r="874">
      <c r="C874" s="28"/>
      <c r="D874" s="28"/>
      <c r="F874" s="28"/>
      <c r="G874" s="28"/>
      <c r="H874" s="28"/>
      <c r="I874" s="106"/>
      <c r="J874" s="107"/>
      <c r="K874" s="28"/>
    </row>
    <row r="875">
      <c r="C875" s="28"/>
      <c r="D875" s="28"/>
      <c r="F875" s="28"/>
      <c r="G875" s="28"/>
      <c r="H875" s="28"/>
      <c r="I875" s="106"/>
      <c r="J875" s="107"/>
      <c r="K875" s="28"/>
    </row>
    <row r="876">
      <c r="C876" s="28"/>
      <c r="D876" s="28"/>
      <c r="F876" s="28"/>
      <c r="G876" s="28"/>
      <c r="H876" s="28"/>
      <c r="I876" s="106"/>
      <c r="J876" s="107"/>
      <c r="K876" s="28"/>
    </row>
    <row r="877">
      <c r="C877" s="28"/>
      <c r="D877" s="28"/>
      <c r="F877" s="28"/>
      <c r="G877" s="28"/>
      <c r="H877" s="28"/>
      <c r="I877" s="106"/>
      <c r="J877" s="107"/>
      <c r="K877" s="28"/>
    </row>
    <row r="878">
      <c r="C878" s="28"/>
      <c r="D878" s="28"/>
      <c r="F878" s="28"/>
      <c r="G878" s="28"/>
      <c r="H878" s="28"/>
      <c r="I878" s="106"/>
      <c r="J878" s="107"/>
      <c r="K878" s="28"/>
    </row>
    <row r="879">
      <c r="C879" s="28"/>
      <c r="D879" s="28"/>
      <c r="F879" s="28"/>
      <c r="G879" s="28"/>
      <c r="H879" s="28"/>
      <c r="I879" s="106"/>
      <c r="J879" s="107"/>
      <c r="K879" s="28"/>
    </row>
    <row r="880">
      <c r="C880" s="28"/>
      <c r="D880" s="28"/>
      <c r="F880" s="28"/>
      <c r="G880" s="28"/>
      <c r="H880" s="28"/>
      <c r="I880" s="106"/>
      <c r="J880" s="107"/>
      <c r="K880" s="28"/>
    </row>
    <row r="881">
      <c r="C881" s="28"/>
      <c r="D881" s="28"/>
      <c r="F881" s="28"/>
      <c r="G881" s="28"/>
      <c r="H881" s="28"/>
      <c r="I881" s="106"/>
      <c r="J881" s="107"/>
      <c r="K881" s="28"/>
    </row>
    <row r="882">
      <c r="C882" s="28"/>
      <c r="D882" s="28"/>
      <c r="F882" s="28"/>
      <c r="G882" s="28"/>
      <c r="H882" s="28"/>
      <c r="I882" s="106"/>
      <c r="J882" s="107"/>
      <c r="K882" s="28"/>
    </row>
    <row r="883">
      <c r="C883" s="28"/>
      <c r="D883" s="28"/>
      <c r="F883" s="28"/>
      <c r="G883" s="28"/>
      <c r="H883" s="28"/>
      <c r="I883" s="106"/>
      <c r="J883" s="107"/>
      <c r="K883" s="28"/>
    </row>
    <row r="884">
      <c r="C884" s="28"/>
      <c r="D884" s="28"/>
      <c r="F884" s="28"/>
      <c r="G884" s="28"/>
      <c r="H884" s="28"/>
      <c r="I884" s="106"/>
      <c r="J884" s="107"/>
      <c r="K884" s="28"/>
    </row>
    <row r="885">
      <c r="C885" s="28"/>
      <c r="D885" s="28"/>
      <c r="F885" s="28"/>
      <c r="G885" s="28"/>
      <c r="H885" s="28"/>
      <c r="I885" s="106"/>
      <c r="J885" s="107"/>
      <c r="K885" s="28"/>
    </row>
    <row r="886">
      <c r="C886" s="28"/>
      <c r="D886" s="28"/>
      <c r="F886" s="28"/>
      <c r="G886" s="28"/>
      <c r="H886" s="28"/>
      <c r="I886" s="106"/>
      <c r="J886" s="107"/>
      <c r="K886" s="28"/>
    </row>
    <row r="887">
      <c r="C887" s="28"/>
      <c r="D887" s="28"/>
      <c r="F887" s="28"/>
      <c r="G887" s="28"/>
      <c r="H887" s="28"/>
      <c r="I887" s="106"/>
      <c r="J887" s="107"/>
      <c r="K887" s="28"/>
    </row>
    <row r="888">
      <c r="C888" s="28"/>
      <c r="D888" s="28"/>
      <c r="F888" s="28"/>
      <c r="G888" s="28"/>
      <c r="H888" s="28"/>
      <c r="I888" s="106"/>
      <c r="J888" s="107"/>
      <c r="K888" s="28"/>
    </row>
    <row r="889">
      <c r="C889" s="28"/>
      <c r="D889" s="28"/>
      <c r="F889" s="28"/>
      <c r="G889" s="28"/>
      <c r="H889" s="28"/>
      <c r="I889" s="106"/>
      <c r="J889" s="107"/>
      <c r="K889" s="28"/>
    </row>
    <row r="890">
      <c r="C890" s="28"/>
      <c r="D890" s="28"/>
      <c r="F890" s="28"/>
      <c r="G890" s="28"/>
      <c r="H890" s="28"/>
      <c r="I890" s="106"/>
      <c r="J890" s="107"/>
      <c r="K890" s="28"/>
    </row>
    <row r="891">
      <c r="C891" s="28"/>
      <c r="D891" s="28"/>
      <c r="F891" s="28"/>
      <c r="G891" s="28"/>
      <c r="H891" s="28"/>
      <c r="I891" s="106"/>
      <c r="J891" s="107"/>
      <c r="K891" s="28"/>
    </row>
    <row r="892">
      <c r="C892" s="28"/>
      <c r="D892" s="28"/>
      <c r="F892" s="28"/>
      <c r="G892" s="28"/>
      <c r="H892" s="28"/>
      <c r="I892" s="106"/>
      <c r="J892" s="107"/>
      <c r="K892" s="28"/>
    </row>
    <row r="893">
      <c r="C893" s="28"/>
      <c r="D893" s="28"/>
      <c r="F893" s="28"/>
      <c r="G893" s="28"/>
      <c r="H893" s="28"/>
      <c r="I893" s="106"/>
      <c r="J893" s="107"/>
      <c r="K893" s="28"/>
    </row>
    <row r="894">
      <c r="C894" s="28"/>
      <c r="D894" s="28"/>
      <c r="F894" s="28"/>
      <c r="G894" s="28"/>
      <c r="H894" s="28"/>
      <c r="I894" s="106"/>
      <c r="J894" s="107"/>
      <c r="K894" s="28"/>
    </row>
    <row r="895">
      <c r="C895" s="28"/>
      <c r="D895" s="28"/>
      <c r="F895" s="28"/>
      <c r="G895" s="28"/>
      <c r="H895" s="28"/>
      <c r="I895" s="106"/>
      <c r="J895" s="107"/>
      <c r="K895" s="28"/>
    </row>
    <row r="896">
      <c r="C896" s="28"/>
      <c r="D896" s="28"/>
      <c r="F896" s="28"/>
      <c r="G896" s="28"/>
      <c r="H896" s="28"/>
      <c r="I896" s="106"/>
      <c r="J896" s="107"/>
      <c r="K896" s="28"/>
    </row>
    <row r="897">
      <c r="C897" s="28"/>
      <c r="D897" s="28"/>
      <c r="F897" s="28"/>
      <c r="G897" s="28"/>
      <c r="H897" s="28"/>
      <c r="I897" s="106"/>
      <c r="J897" s="107"/>
      <c r="K897" s="28"/>
    </row>
    <row r="898">
      <c r="C898" s="28"/>
      <c r="D898" s="28"/>
      <c r="F898" s="28"/>
      <c r="G898" s="28"/>
      <c r="H898" s="28"/>
      <c r="I898" s="106"/>
      <c r="J898" s="107"/>
      <c r="K898" s="28"/>
    </row>
    <row r="899">
      <c r="C899" s="28"/>
      <c r="D899" s="28"/>
      <c r="F899" s="28"/>
      <c r="G899" s="28"/>
      <c r="H899" s="28"/>
      <c r="I899" s="106"/>
      <c r="J899" s="107"/>
      <c r="K899" s="28"/>
    </row>
    <row r="900">
      <c r="C900" s="28"/>
      <c r="D900" s="28"/>
      <c r="F900" s="28"/>
      <c r="G900" s="28"/>
      <c r="H900" s="28"/>
      <c r="I900" s="106"/>
      <c r="J900" s="107"/>
      <c r="K900" s="28"/>
    </row>
    <row r="901">
      <c r="C901" s="28"/>
      <c r="D901" s="28"/>
      <c r="F901" s="28"/>
      <c r="G901" s="28"/>
      <c r="H901" s="28"/>
      <c r="I901" s="106"/>
      <c r="J901" s="107"/>
      <c r="K901" s="28"/>
    </row>
    <row r="902">
      <c r="C902" s="28"/>
      <c r="D902" s="28"/>
      <c r="F902" s="28"/>
      <c r="G902" s="28"/>
      <c r="H902" s="28"/>
      <c r="I902" s="106"/>
      <c r="J902" s="107"/>
      <c r="K902" s="28"/>
    </row>
    <row r="903">
      <c r="C903" s="28"/>
      <c r="D903" s="28"/>
      <c r="F903" s="28"/>
      <c r="G903" s="28"/>
      <c r="H903" s="28"/>
      <c r="I903" s="106"/>
      <c r="J903" s="107"/>
      <c r="K903" s="28"/>
    </row>
    <row r="904">
      <c r="C904" s="28"/>
      <c r="D904" s="28"/>
      <c r="F904" s="28"/>
      <c r="G904" s="28"/>
      <c r="H904" s="28"/>
      <c r="I904" s="106"/>
      <c r="J904" s="107"/>
      <c r="K904" s="28"/>
    </row>
    <row r="905">
      <c r="C905" s="28"/>
      <c r="D905" s="28"/>
      <c r="F905" s="28"/>
      <c r="G905" s="28"/>
      <c r="H905" s="28"/>
      <c r="I905" s="106"/>
      <c r="J905" s="107"/>
      <c r="K905" s="28"/>
    </row>
    <row r="906">
      <c r="C906" s="28"/>
      <c r="D906" s="28"/>
      <c r="F906" s="28"/>
      <c r="G906" s="28"/>
      <c r="H906" s="28"/>
      <c r="I906" s="106"/>
      <c r="J906" s="107"/>
      <c r="K906" s="28"/>
    </row>
    <row r="907">
      <c r="C907" s="28"/>
      <c r="D907" s="28"/>
      <c r="F907" s="28"/>
      <c r="G907" s="28"/>
      <c r="H907" s="28"/>
      <c r="I907" s="106"/>
      <c r="J907" s="107"/>
      <c r="K907" s="28"/>
    </row>
    <row r="908">
      <c r="C908" s="28"/>
      <c r="D908" s="28"/>
      <c r="F908" s="28"/>
      <c r="G908" s="28"/>
      <c r="H908" s="28"/>
      <c r="I908" s="106"/>
      <c r="J908" s="107"/>
      <c r="K908" s="28"/>
    </row>
    <row r="909">
      <c r="C909" s="28"/>
      <c r="D909" s="28"/>
      <c r="F909" s="28"/>
      <c r="G909" s="28"/>
      <c r="H909" s="28"/>
      <c r="I909" s="106"/>
      <c r="J909" s="107"/>
      <c r="K909" s="28"/>
    </row>
    <row r="910">
      <c r="C910" s="28"/>
      <c r="D910" s="28"/>
      <c r="F910" s="28"/>
      <c r="G910" s="28"/>
      <c r="H910" s="28"/>
      <c r="I910" s="106"/>
      <c r="J910" s="107"/>
      <c r="K910" s="28"/>
    </row>
    <row r="911">
      <c r="C911" s="28"/>
      <c r="D911" s="28"/>
      <c r="F911" s="28"/>
      <c r="G911" s="28"/>
      <c r="H911" s="28"/>
      <c r="I911" s="106"/>
      <c r="J911" s="107"/>
      <c r="K911" s="28"/>
    </row>
    <row r="912">
      <c r="C912" s="28"/>
      <c r="D912" s="28"/>
      <c r="F912" s="28"/>
      <c r="G912" s="28"/>
      <c r="H912" s="28"/>
      <c r="I912" s="106"/>
      <c r="J912" s="107"/>
      <c r="K912" s="28"/>
    </row>
    <row r="913">
      <c r="C913" s="28"/>
      <c r="D913" s="28"/>
      <c r="F913" s="28"/>
      <c r="G913" s="28"/>
      <c r="H913" s="28"/>
      <c r="I913" s="106"/>
      <c r="J913" s="107"/>
      <c r="K913" s="28"/>
    </row>
    <row r="914">
      <c r="C914" s="28"/>
      <c r="D914" s="28"/>
      <c r="F914" s="28"/>
      <c r="G914" s="28"/>
      <c r="H914" s="28"/>
      <c r="I914" s="106"/>
      <c r="J914" s="107"/>
      <c r="K914" s="28"/>
    </row>
    <row r="915">
      <c r="C915" s="28"/>
      <c r="D915" s="28"/>
      <c r="F915" s="28"/>
      <c r="G915" s="28"/>
      <c r="H915" s="28"/>
      <c r="I915" s="106"/>
      <c r="J915" s="107"/>
      <c r="K915" s="28"/>
    </row>
    <row r="916">
      <c r="C916" s="28"/>
      <c r="D916" s="28"/>
      <c r="F916" s="28"/>
      <c r="G916" s="28"/>
      <c r="H916" s="28"/>
      <c r="I916" s="106"/>
      <c r="J916" s="107"/>
      <c r="K916" s="28"/>
    </row>
    <row r="917">
      <c r="C917" s="28"/>
      <c r="D917" s="28"/>
      <c r="F917" s="28"/>
      <c r="G917" s="28"/>
      <c r="H917" s="28"/>
      <c r="I917" s="106"/>
      <c r="J917" s="107"/>
      <c r="K917" s="28"/>
    </row>
    <row r="918">
      <c r="C918" s="28"/>
      <c r="D918" s="28"/>
      <c r="F918" s="28"/>
      <c r="G918" s="28"/>
      <c r="H918" s="28"/>
      <c r="I918" s="106"/>
      <c r="J918" s="107"/>
      <c r="K918" s="28"/>
    </row>
    <row r="919">
      <c r="C919" s="28"/>
      <c r="D919" s="28"/>
      <c r="F919" s="28"/>
      <c r="G919" s="28"/>
      <c r="H919" s="28"/>
      <c r="I919" s="106"/>
      <c r="J919" s="107"/>
      <c r="K919" s="28"/>
    </row>
    <row r="920">
      <c r="C920" s="28"/>
      <c r="D920" s="28"/>
      <c r="F920" s="28"/>
      <c r="G920" s="28"/>
      <c r="H920" s="28"/>
      <c r="I920" s="106"/>
      <c r="J920" s="107"/>
      <c r="K920" s="28"/>
    </row>
    <row r="921">
      <c r="C921" s="28"/>
      <c r="D921" s="28"/>
      <c r="F921" s="28"/>
      <c r="G921" s="28"/>
      <c r="H921" s="28"/>
      <c r="I921" s="106"/>
      <c r="J921" s="107"/>
      <c r="K921" s="28"/>
    </row>
    <row r="922">
      <c r="C922" s="28"/>
      <c r="D922" s="28"/>
      <c r="F922" s="28"/>
      <c r="G922" s="28"/>
      <c r="H922" s="28"/>
      <c r="I922" s="106"/>
      <c r="J922" s="107"/>
      <c r="K922" s="28"/>
    </row>
    <row r="923">
      <c r="C923" s="28"/>
      <c r="D923" s="28"/>
      <c r="F923" s="28"/>
      <c r="G923" s="28"/>
      <c r="H923" s="28"/>
      <c r="I923" s="106"/>
      <c r="J923" s="107"/>
      <c r="K923" s="28"/>
    </row>
    <row r="924">
      <c r="C924" s="28"/>
      <c r="D924" s="28"/>
      <c r="F924" s="28"/>
      <c r="G924" s="28"/>
      <c r="H924" s="28"/>
      <c r="I924" s="106"/>
      <c r="J924" s="107"/>
      <c r="K924" s="28"/>
    </row>
    <row r="925">
      <c r="C925" s="28"/>
      <c r="D925" s="28"/>
      <c r="F925" s="28"/>
      <c r="G925" s="28"/>
      <c r="H925" s="28"/>
      <c r="I925" s="106"/>
      <c r="J925" s="107"/>
      <c r="K925" s="28"/>
    </row>
    <row r="926">
      <c r="C926" s="28"/>
      <c r="D926" s="28"/>
      <c r="F926" s="28"/>
      <c r="G926" s="28"/>
      <c r="H926" s="28"/>
      <c r="I926" s="106"/>
      <c r="J926" s="107"/>
      <c r="K926" s="28"/>
    </row>
    <row r="927">
      <c r="C927" s="28"/>
      <c r="D927" s="28"/>
      <c r="F927" s="28"/>
      <c r="G927" s="28"/>
      <c r="H927" s="28"/>
      <c r="I927" s="106"/>
      <c r="J927" s="107"/>
      <c r="K927" s="28"/>
    </row>
    <row r="928">
      <c r="C928" s="28"/>
      <c r="D928" s="28"/>
      <c r="F928" s="28"/>
      <c r="G928" s="28"/>
      <c r="H928" s="28"/>
      <c r="I928" s="106"/>
      <c r="J928" s="107"/>
      <c r="K928" s="28"/>
    </row>
    <row r="929">
      <c r="C929" s="28"/>
      <c r="D929" s="28"/>
      <c r="F929" s="28"/>
      <c r="G929" s="28"/>
      <c r="H929" s="28"/>
      <c r="I929" s="106"/>
      <c r="J929" s="107"/>
      <c r="K929" s="28"/>
    </row>
    <row r="930">
      <c r="C930" s="28"/>
      <c r="D930" s="28"/>
      <c r="F930" s="28"/>
      <c r="G930" s="28"/>
      <c r="H930" s="28"/>
      <c r="I930" s="106"/>
      <c r="J930" s="107"/>
      <c r="K930" s="28"/>
    </row>
    <row r="931">
      <c r="C931" s="28"/>
      <c r="D931" s="28"/>
      <c r="F931" s="28"/>
      <c r="G931" s="28"/>
      <c r="H931" s="28"/>
      <c r="I931" s="106"/>
      <c r="J931" s="107"/>
      <c r="K931" s="28"/>
    </row>
    <row r="932">
      <c r="C932" s="28"/>
      <c r="D932" s="28"/>
      <c r="F932" s="28"/>
      <c r="G932" s="28"/>
      <c r="H932" s="28"/>
      <c r="I932" s="106"/>
      <c r="J932" s="107"/>
      <c r="K932" s="28"/>
    </row>
    <row r="933">
      <c r="C933" s="28"/>
      <c r="D933" s="28"/>
      <c r="F933" s="28"/>
      <c r="G933" s="28"/>
      <c r="H933" s="28"/>
      <c r="I933" s="106"/>
      <c r="J933" s="107"/>
      <c r="K933" s="28"/>
    </row>
    <row r="934">
      <c r="C934" s="28"/>
      <c r="D934" s="28"/>
      <c r="F934" s="28"/>
      <c r="G934" s="28"/>
      <c r="H934" s="28"/>
      <c r="I934" s="106"/>
      <c r="J934" s="107"/>
      <c r="K934" s="28"/>
    </row>
    <row r="935">
      <c r="C935" s="28"/>
      <c r="D935" s="28"/>
      <c r="F935" s="28"/>
      <c r="G935" s="28"/>
      <c r="H935" s="28"/>
      <c r="I935" s="106"/>
      <c r="J935" s="107"/>
      <c r="K935" s="28"/>
    </row>
    <row r="936">
      <c r="C936" s="28"/>
      <c r="D936" s="28"/>
      <c r="F936" s="28"/>
      <c r="G936" s="28"/>
      <c r="H936" s="28"/>
      <c r="I936" s="106"/>
      <c r="J936" s="107"/>
      <c r="K936" s="28"/>
    </row>
    <row r="937">
      <c r="C937" s="28"/>
      <c r="D937" s="28"/>
      <c r="F937" s="28"/>
      <c r="G937" s="28"/>
      <c r="H937" s="28"/>
      <c r="I937" s="106"/>
      <c r="J937" s="107"/>
      <c r="K937" s="28"/>
    </row>
    <row r="938">
      <c r="C938" s="28"/>
      <c r="D938" s="28"/>
      <c r="F938" s="28"/>
      <c r="G938" s="28"/>
      <c r="H938" s="28"/>
      <c r="I938" s="106"/>
      <c r="J938" s="107"/>
      <c r="K938" s="28"/>
    </row>
    <row r="939">
      <c r="C939" s="28"/>
      <c r="D939" s="28"/>
      <c r="F939" s="28"/>
      <c r="G939" s="28"/>
      <c r="H939" s="28"/>
      <c r="I939" s="106"/>
      <c r="J939" s="107"/>
      <c r="K939" s="28"/>
    </row>
    <row r="940">
      <c r="C940" s="28"/>
      <c r="D940" s="28"/>
      <c r="F940" s="28"/>
      <c r="G940" s="28"/>
      <c r="H940" s="28"/>
      <c r="I940" s="106"/>
      <c r="J940" s="107"/>
      <c r="K940" s="28"/>
    </row>
    <row r="941">
      <c r="C941" s="28"/>
      <c r="D941" s="28"/>
      <c r="F941" s="28"/>
      <c r="G941" s="28"/>
      <c r="H941" s="28"/>
      <c r="I941" s="106"/>
      <c r="J941" s="107"/>
      <c r="K941" s="28"/>
    </row>
    <row r="942">
      <c r="C942" s="28"/>
      <c r="D942" s="28"/>
      <c r="F942" s="28"/>
      <c r="G942" s="28"/>
      <c r="H942" s="28"/>
      <c r="I942" s="106"/>
      <c r="J942" s="107"/>
      <c r="K942" s="28"/>
    </row>
    <row r="943">
      <c r="C943" s="28"/>
      <c r="D943" s="28"/>
      <c r="F943" s="28"/>
      <c r="G943" s="28"/>
      <c r="H943" s="28"/>
      <c r="I943" s="106"/>
      <c r="J943" s="107"/>
      <c r="K943" s="28"/>
    </row>
    <row r="944">
      <c r="C944" s="28"/>
      <c r="D944" s="28"/>
      <c r="F944" s="28"/>
      <c r="G944" s="28"/>
      <c r="H944" s="28"/>
      <c r="I944" s="106"/>
      <c r="J944" s="107"/>
      <c r="K944" s="28"/>
    </row>
    <row r="945">
      <c r="C945" s="28"/>
      <c r="D945" s="28"/>
      <c r="F945" s="28"/>
      <c r="G945" s="28"/>
      <c r="H945" s="28"/>
      <c r="I945" s="106"/>
      <c r="J945" s="107"/>
      <c r="K945" s="28"/>
    </row>
    <row r="946">
      <c r="C946" s="28"/>
      <c r="D946" s="28"/>
      <c r="F946" s="28"/>
      <c r="G946" s="28"/>
      <c r="H946" s="28"/>
      <c r="I946" s="106"/>
      <c r="J946" s="107"/>
      <c r="K946" s="28"/>
    </row>
    <row r="947">
      <c r="C947" s="28"/>
      <c r="D947" s="28"/>
      <c r="F947" s="28"/>
      <c r="G947" s="28"/>
      <c r="H947" s="28"/>
      <c r="I947" s="106"/>
      <c r="J947" s="107"/>
      <c r="K947" s="28"/>
    </row>
    <row r="948">
      <c r="C948" s="28"/>
      <c r="D948" s="28"/>
      <c r="F948" s="28"/>
      <c r="G948" s="28"/>
      <c r="H948" s="28"/>
      <c r="I948" s="106"/>
      <c r="J948" s="107"/>
      <c r="K948" s="28"/>
    </row>
    <row r="949">
      <c r="C949" s="28"/>
      <c r="D949" s="28"/>
      <c r="F949" s="28"/>
      <c r="G949" s="28"/>
      <c r="H949" s="28"/>
      <c r="I949" s="106"/>
      <c r="J949" s="107"/>
      <c r="K949" s="28"/>
    </row>
    <row r="950">
      <c r="C950" s="28"/>
      <c r="D950" s="28"/>
      <c r="F950" s="28"/>
      <c r="G950" s="28"/>
      <c r="H950" s="28"/>
      <c r="I950" s="106"/>
      <c r="J950" s="107"/>
      <c r="K950" s="28"/>
    </row>
    <row r="951">
      <c r="C951" s="28"/>
      <c r="D951" s="28"/>
      <c r="F951" s="28"/>
      <c r="G951" s="28"/>
      <c r="H951" s="28"/>
      <c r="I951" s="106"/>
      <c r="J951" s="107"/>
      <c r="K951" s="28"/>
    </row>
    <row r="952">
      <c r="C952" s="28"/>
      <c r="D952" s="28"/>
      <c r="F952" s="28"/>
      <c r="G952" s="28"/>
      <c r="H952" s="28"/>
      <c r="I952" s="106"/>
      <c r="J952" s="107"/>
      <c r="K952" s="28"/>
    </row>
    <row r="953">
      <c r="C953" s="28"/>
      <c r="D953" s="28"/>
      <c r="F953" s="28"/>
      <c r="G953" s="28"/>
      <c r="H953" s="28"/>
      <c r="I953" s="106"/>
      <c r="J953" s="107"/>
      <c r="K953" s="28"/>
    </row>
    <row r="954">
      <c r="C954" s="28"/>
      <c r="D954" s="28"/>
      <c r="F954" s="28"/>
      <c r="G954" s="28"/>
      <c r="H954" s="28"/>
      <c r="I954" s="106"/>
      <c r="J954" s="107"/>
      <c r="K954" s="28"/>
    </row>
    <row r="955">
      <c r="C955" s="28"/>
      <c r="D955" s="28"/>
      <c r="F955" s="28"/>
      <c r="G955" s="28"/>
      <c r="H955" s="28"/>
      <c r="I955" s="106"/>
      <c r="J955" s="107"/>
      <c r="K955" s="28"/>
    </row>
    <row r="956">
      <c r="C956" s="28"/>
      <c r="D956" s="28"/>
      <c r="F956" s="28"/>
      <c r="G956" s="28"/>
      <c r="H956" s="28"/>
      <c r="I956" s="106"/>
      <c r="J956" s="107"/>
      <c r="K956" s="28"/>
    </row>
    <row r="957">
      <c r="C957" s="28"/>
      <c r="D957" s="28"/>
      <c r="F957" s="28"/>
      <c r="G957" s="28"/>
      <c r="H957" s="28"/>
      <c r="I957" s="106"/>
      <c r="J957" s="107"/>
      <c r="K957" s="28"/>
    </row>
    <row r="958">
      <c r="C958" s="28"/>
      <c r="D958" s="28"/>
      <c r="F958" s="28"/>
      <c r="G958" s="28"/>
      <c r="H958" s="28"/>
      <c r="I958" s="106"/>
      <c r="J958" s="107"/>
      <c r="K958" s="28"/>
    </row>
    <row r="959">
      <c r="C959" s="28"/>
      <c r="D959" s="28"/>
      <c r="F959" s="28"/>
      <c r="G959" s="28"/>
      <c r="H959" s="28"/>
      <c r="I959" s="106"/>
      <c r="J959" s="107"/>
      <c r="K959" s="28"/>
    </row>
    <row r="960">
      <c r="C960" s="28"/>
      <c r="D960" s="28"/>
      <c r="F960" s="28"/>
      <c r="G960" s="28"/>
      <c r="H960" s="28"/>
      <c r="I960" s="106"/>
      <c r="J960" s="107"/>
      <c r="K960" s="28"/>
    </row>
    <row r="961">
      <c r="C961" s="28"/>
      <c r="D961" s="28"/>
      <c r="F961" s="28"/>
      <c r="G961" s="28"/>
      <c r="H961" s="28"/>
      <c r="I961" s="106"/>
      <c r="J961" s="107"/>
      <c r="K961" s="28"/>
    </row>
    <row r="962">
      <c r="C962" s="28"/>
      <c r="D962" s="28"/>
      <c r="F962" s="28"/>
      <c r="G962" s="28"/>
      <c r="H962" s="28"/>
      <c r="I962" s="106"/>
      <c r="J962" s="107"/>
      <c r="K962" s="28"/>
    </row>
    <row r="963">
      <c r="C963" s="28"/>
      <c r="D963" s="28"/>
      <c r="F963" s="28"/>
      <c r="G963" s="28"/>
      <c r="H963" s="28"/>
      <c r="I963" s="106"/>
      <c r="J963" s="107"/>
      <c r="K963" s="28"/>
    </row>
    <row r="964">
      <c r="C964" s="28"/>
      <c r="D964" s="28"/>
      <c r="F964" s="28"/>
      <c r="G964" s="28"/>
      <c r="H964" s="28"/>
      <c r="I964" s="106"/>
      <c r="J964" s="107"/>
      <c r="K964" s="28"/>
    </row>
    <row r="965">
      <c r="C965" s="28"/>
      <c r="D965" s="28"/>
      <c r="F965" s="28"/>
      <c r="G965" s="28"/>
      <c r="H965" s="28"/>
      <c r="I965" s="106"/>
      <c r="J965" s="107"/>
      <c r="K965" s="28"/>
    </row>
    <row r="966">
      <c r="C966" s="28"/>
      <c r="D966" s="28"/>
      <c r="F966" s="28"/>
      <c r="G966" s="28"/>
      <c r="H966" s="28"/>
      <c r="I966" s="106"/>
      <c r="J966" s="107"/>
      <c r="K966" s="28"/>
    </row>
    <row r="967">
      <c r="C967" s="28"/>
      <c r="D967" s="28"/>
      <c r="F967" s="28"/>
      <c r="G967" s="28"/>
      <c r="H967" s="28"/>
      <c r="I967" s="106"/>
      <c r="J967" s="107"/>
      <c r="K967" s="28"/>
    </row>
    <row r="968">
      <c r="C968" s="28"/>
      <c r="D968" s="28"/>
      <c r="F968" s="28"/>
      <c r="G968" s="28"/>
      <c r="H968" s="28"/>
      <c r="I968" s="106"/>
      <c r="J968" s="107"/>
      <c r="K968" s="28"/>
    </row>
    <row r="969">
      <c r="C969" s="28"/>
      <c r="D969" s="28"/>
      <c r="F969" s="28"/>
      <c r="G969" s="28"/>
      <c r="H969" s="28"/>
      <c r="I969" s="106"/>
      <c r="J969" s="107"/>
      <c r="K969" s="28"/>
    </row>
    <row r="970">
      <c r="C970" s="28"/>
      <c r="D970" s="28"/>
      <c r="F970" s="28"/>
      <c r="G970" s="28"/>
      <c r="H970" s="28"/>
      <c r="I970" s="106"/>
      <c r="J970" s="107"/>
      <c r="K970" s="28"/>
    </row>
    <row r="971">
      <c r="C971" s="28"/>
      <c r="D971" s="28"/>
      <c r="F971" s="28"/>
      <c r="G971" s="28"/>
      <c r="H971" s="28"/>
      <c r="I971" s="106"/>
      <c r="J971" s="107"/>
      <c r="K971" s="28"/>
    </row>
    <row r="972">
      <c r="C972" s="28"/>
      <c r="D972" s="28"/>
      <c r="F972" s="28"/>
      <c r="G972" s="28"/>
      <c r="H972" s="28"/>
      <c r="I972" s="106"/>
      <c r="J972" s="107"/>
      <c r="K972" s="28"/>
    </row>
    <row r="973">
      <c r="C973" s="28"/>
      <c r="D973" s="28"/>
      <c r="F973" s="28"/>
      <c r="G973" s="28"/>
      <c r="H973" s="28"/>
      <c r="I973" s="106"/>
      <c r="J973" s="107"/>
      <c r="K973" s="28"/>
    </row>
    <row r="974">
      <c r="C974" s="28"/>
      <c r="D974" s="28"/>
      <c r="F974" s="28"/>
      <c r="G974" s="28"/>
      <c r="H974" s="28"/>
      <c r="I974" s="106"/>
      <c r="J974" s="107"/>
      <c r="K974" s="28"/>
    </row>
    <row r="975">
      <c r="C975" s="28"/>
      <c r="D975" s="28"/>
      <c r="F975" s="28"/>
      <c r="G975" s="28"/>
      <c r="H975" s="28"/>
      <c r="I975" s="106"/>
      <c r="J975" s="107"/>
      <c r="K975" s="28"/>
    </row>
    <row r="976">
      <c r="C976" s="28"/>
      <c r="D976" s="28"/>
      <c r="F976" s="28"/>
      <c r="G976" s="28"/>
      <c r="H976" s="28"/>
      <c r="I976" s="106"/>
      <c r="J976" s="107"/>
      <c r="K976" s="28"/>
    </row>
    <row r="977">
      <c r="C977" s="28"/>
      <c r="D977" s="28"/>
      <c r="F977" s="28"/>
      <c r="G977" s="28"/>
      <c r="H977" s="28"/>
      <c r="I977" s="106"/>
      <c r="J977" s="107"/>
      <c r="K977" s="28"/>
    </row>
    <row r="978">
      <c r="C978" s="28"/>
      <c r="D978" s="28"/>
      <c r="F978" s="28"/>
      <c r="G978" s="28"/>
      <c r="H978" s="28"/>
      <c r="I978" s="106"/>
      <c r="J978" s="107"/>
      <c r="K978" s="28"/>
    </row>
    <row r="979">
      <c r="C979" s="28"/>
      <c r="D979" s="28"/>
      <c r="F979" s="28"/>
      <c r="G979" s="28"/>
      <c r="H979" s="28"/>
      <c r="I979" s="106"/>
      <c r="J979" s="107"/>
      <c r="K979" s="28"/>
    </row>
    <row r="980">
      <c r="C980" s="28"/>
      <c r="D980" s="28"/>
      <c r="F980" s="28"/>
      <c r="G980" s="28"/>
      <c r="H980" s="28"/>
      <c r="I980" s="106"/>
      <c r="J980" s="107"/>
      <c r="K980" s="28"/>
    </row>
    <row r="981">
      <c r="C981" s="28"/>
      <c r="D981" s="28"/>
      <c r="F981" s="28"/>
      <c r="G981" s="28"/>
      <c r="H981" s="28"/>
      <c r="I981" s="106"/>
      <c r="J981" s="107"/>
      <c r="K981" s="28"/>
    </row>
    <row r="982">
      <c r="C982" s="28"/>
      <c r="D982" s="28"/>
      <c r="F982" s="28"/>
      <c r="G982" s="28"/>
      <c r="H982" s="28"/>
      <c r="I982" s="106"/>
      <c r="J982" s="107"/>
      <c r="K982" s="28"/>
    </row>
    <row r="983">
      <c r="C983" s="28"/>
      <c r="D983" s="28"/>
      <c r="F983" s="28"/>
      <c r="G983" s="28"/>
      <c r="H983" s="28"/>
      <c r="I983" s="106"/>
      <c r="J983" s="107"/>
      <c r="K983" s="28"/>
    </row>
    <row r="984">
      <c r="C984" s="28"/>
      <c r="D984" s="28"/>
      <c r="F984" s="28"/>
      <c r="G984" s="28"/>
      <c r="H984" s="28"/>
      <c r="I984" s="106"/>
      <c r="J984" s="107"/>
      <c r="K984" s="28"/>
    </row>
    <row r="985">
      <c r="C985" s="28"/>
      <c r="D985" s="28"/>
      <c r="F985" s="28"/>
      <c r="G985" s="28"/>
      <c r="H985" s="28"/>
      <c r="I985" s="106"/>
      <c r="J985" s="107"/>
      <c r="K985" s="28"/>
    </row>
    <row r="986">
      <c r="C986" s="28"/>
      <c r="D986" s="28"/>
      <c r="F986" s="28"/>
      <c r="G986" s="28"/>
      <c r="H986" s="28"/>
      <c r="I986" s="106"/>
      <c r="J986" s="107"/>
      <c r="K986" s="28"/>
    </row>
    <row r="987">
      <c r="C987" s="28"/>
      <c r="D987" s="28"/>
      <c r="F987" s="28"/>
      <c r="G987" s="28"/>
      <c r="H987" s="28"/>
      <c r="I987" s="106"/>
      <c r="J987" s="107"/>
      <c r="K987" s="28"/>
    </row>
    <row r="988">
      <c r="C988" s="28"/>
      <c r="D988" s="28"/>
      <c r="F988" s="28"/>
      <c r="G988" s="28"/>
      <c r="H988" s="28"/>
      <c r="I988" s="106"/>
      <c r="J988" s="107"/>
      <c r="K988" s="28"/>
    </row>
    <row r="989">
      <c r="C989" s="28"/>
      <c r="D989" s="28"/>
      <c r="F989" s="28"/>
      <c r="G989" s="28"/>
      <c r="H989" s="28"/>
      <c r="I989" s="106"/>
      <c r="J989" s="107"/>
      <c r="K989" s="28"/>
    </row>
    <row r="990">
      <c r="C990" s="28"/>
      <c r="D990" s="28"/>
      <c r="F990" s="28"/>
      <c r="G990" s="28"/>
      <c r="H990" s="28"/>
      <c r="I990" s="106"/>
      <c r="J990" s="107"/>
      <c r="K990" s="28"/>
    </row>
    <row r="991">
      <c r="C991" s="28"/>
      <c r="D991" s="28"/>
      <c r="F991" s="28"/>
      <c r="G991" s="28"/>
      <c r="H991" s="28"/>
      <c r="I991" s="106"/>
      <c r="J991" s="107"/>
      <c r="K991" s="28"/>
    </row>
    <row r="992">
      <c r="C992" s="28"/>
      <c r="D992" s="28"/>
      <c r="F992" s="28"/>
      <c r="G992" s="28"/>
      <c r="H992" s="28"/>
      <c r="I992" s="106"/>
      <c r="J992" s="107"/>
      <c r="K992" s="28"/>
    </row>
    <row r="993">
      <c r="C993" s="28"/>
      <c r="D993" s="28"/>
      <c r="F993" s="28"/>
      <c r="G993" s="28"/>
      <c r="H993" s="28"/>
      <c r="I993" s="106"/>
      <c r="J993" s="107"/>
      <c r="K993" s="28"/>
    </row>
    <row r="994">
      <c r="C994" s="28"/>
      <c r="D994" s="28"/>
      <c r="F994" s="28"/>
      <c r="G994" s="28"/>
      <c r="H994" s="28"/>
      <c r="I994" s="106"/>
      <c r="J994" s="107"/>
      <c r="K994" s="28"/>
    </row>
    <row r="995">
      <c r="C995" s="28"/>
      <c r="D995" s="28"/>
      <c r="F995" s="28"/>
      <c r="G995" s="28"/>
      <c r="H995" s="28"/>
      <c r="I995" s="106"/>
      <c r="J995" s="107"/>
      <c r="K995" s="28"/>
    </row>
    <row r="996">
      <c r="C996" s="28"/>
      <c r="D996" s="28"/>
      <c r="F996" s="28"/>
      <c r="G996" s="28"/>
      <c r="H996" s="28"/>
      <c r="I996" s="106"/>
      <c r="J996" s="107"/>
      <c r="K996" s="28"/>
    </row>
    <row r="997">
      <c r="C997" s="28"/>
      <c r="D997" s="28"/>
      <c r="F997" s="28"/>
      <c r="G997" s="28"/>
      <c r="H997" s="28"/>
      <c r="I997" s="106"/>
      <c r="J997" s="107"/>
      <c r="K997" s="28"/>
    </row>
    <row r="998">
      <c r="C998" s="28"/>
      <c r="D998" s="28"/>
      <c r="F998" s="28"/>
      <c r="G998" s="28"/>
      <c r="H998" s="28"/>
      <c r="I998" s="106"/>
      <c r="J998" s="107"/>
      <c r="K998" s="28"/>
    </row>
    <row r="999">
      <c r="C999" s="28"/>
      <c r="D999" s="28"/>
      <c r="F999" s="28"/>
      <c r="G999" s="28"/>
      <c r="H999" s="28"/>
      <c r="I999" s="106"/>
      <c r="J999" s="107"/>
      <c r="K999" s="28"/>
    </row>
    <row r="1000">
      <c r="C1000" s="28"/>
      <c r="D1000" s="28"/>
      <c r="F1000" s="28"/>
      <c r="G1000" s="28"/>
      <c r="H1000" s="28"/>
      <c r="I1000" s="106"/>
      <c r="J1000" s="107"/>
      <c r="K1000" s="28"/>
    </row>
  </sheetData>
  <conditionalFormatting sqref="D3:D10">
    <cfRule type="colorScale" priority="1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E3:E10">
    <cfRule type="colorScale" priority="2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G3:G10">
    <cfRule type="colorScale" priority="3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I3:I10">
    <cfRule type="colorScale" priority="4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J3:J10">
    <cfRule type="colorScale" priority="5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K3:K10">
    <cfRule type="colorScale" priority="6">
      <colorScale>
        <cfvo type="min"/>
        <cfvo type="percent" val="50"/>
        <cfvo type="max"/>
        <color rgb="FF34A853"/>
        <color rgb="FFFBBC04"/>
        <color rgb="FFEA4335"/>
      </colorScale>
    </cfRule>
  </conditionalFormatting>
  <conditionalFormatting sqref="D12:D18">
    <cfRule type="colorScale" priority="7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E12:E18">
    <cfRule type="colorScale" priority="8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G12:G18">
    <cfRule type="colorScale" priority="9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I12:I18">
    <cfRule type="colorScale" priority="10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J12:J18">
    <cfRule type="colorScale" priority="11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K12:K18">
    <cfRule type="colorScale" priority="12">
      <colorScale>
        <cfvo type="min"/>
        <cfvo type="percent" val="50"/>
        <cfvo type="max"/>
        <color rgb="FF34A853"/>
        <color rgb="FFFBBC04"/>
        <color rgb="FFEA4335"/>
      </colorScale>
    </cfRule>
  </conditionalFormatting>
  <conditionalFormatting sqref="D20:D26">
    <cfRule type="colorScale" priority="13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E20:E26">
    <cfRule type="colorScale" priority="14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G20:G26">
    <cfRule type="colorScale" priority="15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I20:I26">
    <cfRule type="colorScale" priority="16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J20:J26">
    <cfRule type="colorScale" priority="17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K20:K26">
    <cfRule type="colorScale" priority="18">
      <colorScale>
        <cfvo type="min"/>
        <cfvo type="percent" val="50"/>
        <cfvo type="max"/>
        <color rgb="FF34A853"/>
        <color rgb="FFFBBC04"/>
        <color rgb="FFEA4335"/>
      </colorScale>
    </cfRule>
  </conditionalFormatting>
  <conditionalFormatting sqref="D28:D34">
    <cfRule type="colorScale" priority="19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E28:E34">
    <cfRule type="colorScale" priority="20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G28:G34">
    <cfRule type="colorScale" priority="21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I28:I34">
    <cfRule type="colorScale" priority="22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J28:J34">
    <cfRule type="colorScale" priority="23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K28:K34">
    <cfRule type="colorScale" priority="24">
      <colorScale>
        <cfvo type="min"/>
        <cfvo type="percent" val="50"/>
        <cfvo type="max"/>
        <color rgb="FF34A853"/>
        <color rgb="FFFBBC04"/>
        <color rgb="FFEA4335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08"/>
      <c r="B1" s="109" t="s">
        <v>545</v>
      </c>
      <c r="C1" s="109" t="s">
        <v>546</v>
      </c>
      <c r="D1" s="109" t="s">
        <v>547</v>
      </c>
      <c r="E1" s="109" t="s">
        <v>548</v>
      </c>
      <c r="F1" s="109" t="s">
        <v>549</v>
      </c>
    </row>
    <row r="2">
      <c r="A2" s="109" t="s">
        <v>550</v>
      </c>
      <c r="B2" s="110"/>
      <c r="C2" s="110"/>
      <c r="D2" s="109" t="s">
        <v>551</v>
      </c>
      <c r="E2" s="111">
        <v>720.0</v>
      </c>
      <c r="F2" s="110"/>
    </row>
    <row r="3">
      <c r="A3" s="109" t="s">
        <v>552</v>
      </c>
      <c r="B3" s="110"/>
      <c r="C3" s="110"/>
      <c r="D3" s="109" t="s">
        <v>551</v>
      </c>
      <c r="E3" s="111">
        <v>1080.0</v>
      </c>
      <c r="F3" s="110"/>
    </row>
    <row r="4">
      <c r="A4" s="109" t="s">
        <v>553</v>
      </c>
      <c r="B4" s="110"/>
      <c r="C4" s="110"/>
      <c r="D4" s="109" t="s">
        <v>551</v>
      </c>
      <c r="E4" s="111">
        <v>1440.0</v>
      </c>
      <c r="F4" s="110"/>
    </row>
    <row r="5">
      <c r="A5" s="109" t="s">
        <v>554</v>
      </c>
      <c r="B5" s="110"/>
      <c r="C5" s="110"/>
      <c r="D5" s="109" t="s">
        <v>551</v>
      </c>
      <c r="E5" s="111">
        <v>1800.0</v>
      </c>
      <c r="F5" s="110"/>
    </row>
    <row r="6">
      <c r="A6" s="109" t="s">
        <v>555</v>
      </c>
      <c r="B6" s="110"/>
      <c r="C6" s="110"/>
      <c r="D6" s="109" t="s">
        <v>551</v>
      </c>
      <c r="E6" s="111">
        <v>2160.0</v>
      </c>
      <c r="F6" s="110"/>
    </row>
    <row r="7">
      <c r="A7" s="109" t="s">
        <v>556</v>
      </c>
      <c r="B7" s="109" t="s">
        <v>551</v>
      </c>
      <c r="C7" s="111">
        <v>900.0</v>
      </c>
      <c r="D7" s="109" t="s">
        <v>556</v>
      </c>
      <c r="E7" s="112">
        <v>28125.0</v>
      </c>
      <c r="F7" s="113">
        <v>46146.0</v>
      </c>
    </row>
    <row r="8">
      <c r="A8" s="109" t="s">
        <v>557</v>
      </c>
      <c r="B8" s="109" t="s">
        <v>551</v>
      </c>
      <c r="C8" s="111">
        <v>1440.0</v>
      </c>
      <c r="D8" s="109" t="s">
        <v>14</v>
      </c>
      <c r="E8" s="111">
        <v>360.0</v>
      </c>
      <c r="F8" s="113">
        <v>46054.0</v>
      </c>
    </row>
    <row r="9">
      <c r="A9" s="109" t="s">
        <v>558</v>
      </c>
      <c r="B9" s="109" t="s">
        <v>551</v>
      </c>
      <c r="C9" s="111">
        <v>1440.0</v>
      </c>
      <c r="D9" s="109" t="s">
        <v>559</v>
      </c>
      <c r="E9" s="111">
        <v>720.0</v>
      </c>
      <c r="F9" s="113">
        <v>46054.0</v>
      </c>
    </row>
    <row r="10">
      <c r="A10" s="109" t="s">
        <v>560</v>
      </c>
      <c r="B10" s="109" t="s">
        <v>559</v>
      </c>
      <c r="C10" s="111">
        <v>720.0</v>
      </c>
      <c r="D10" s="109" t="s">
        <v>15</v>
      </c>
      <c r="E10" s="111">
        <v>360.0</v>
      </c>
      <c r="F10" s="111">
        <v>1.0</v>
      </c>
    </row>
    <row r="11">
      <c r="A11" s="109" t="s">
        <v>561</v>
      </c>
      <c r="B11" s="109" t="s">
        <v>551</v>
      </c>
      <c r="C11" s="111">
        <v>1200.0</v>
      </c>
      <c r="D11" s="109" t="s">
        <v>562</v>
      </c>
      <c r="E11" s="111">
        <v>1200.0</v>
      </c>
      <c r="F11" s="113">
        <v>46145.0</v>
      </c>
    </row>
    <row r="12">
      <c r="A12" s="109" t="s">
        <v>563</v>
      </c>
      <c r="B12" s="109" t="s">
        <v>562</v>
      </c>
      <c r="C12" s="111">
        <v>1440.0</v>
      </c>
      <c r="D12" s="109" t="s">
        <v>564</v>
      </c>
      <c r="E12" s="111">
        <v>720.0</v>
      </c>
      <c r="F12" s="113">
        <v>46178.0</v>
      </c>
    </row>
    <row r="13">
      <c r="A13" s="109" t="s">
        <v>565</v>
      </c>
      <c r="B13" s="109" t="s">
        <v>551</v>
      </c>
      <c r="C13" s="111">
        <v>900.0</v>
      </c>
      <c r="D13" s="109" t="s">
        <v>566</v>
      </c>
      <c r="E13" s="111">
        <v>900.0</v>
      </c>
      <c r="F13" s="113">
        <v>46146.0</v>
      </c>
    </row>
    <row r="14">
      <c r="A14" s="109" t="s">
        <v>567</v>
      </c>
      <c r="B14" s="109" t="s">
        <v>551</v>
      </c>
      <c r="C14" s="111">
        <v>1800.0</v>
      </c>
      <c r="D14" s="109" t="s">
        <v>566</v>
      </c>
      <c r="E14" s="111">
        <v>1800.0</v>
      </c>
      <c r="F14" s="113">
        <v>46144.0</v>
      </c>
    </row>
    <row r="15">
      <c r="A15" s="109" t="s">
        <v>568</v>
      </c>
      <c r="B15" s="110"/>
      <c r="C15" s="110"/>
      <c r="D15" s="109" t="s">
        <v>569</v>
      </c>
      <c r="E15" s="111">
        <v>10800.0</v>
      </c>
      <c r="F15" s="110"/>
    </row>
    <row r="16">
      <c r="A16" s="109" t="s">
        <v>570</v>
      </c>
      <c r="B16" s="109" t="s">
        <v>569</v>
      </c>
      <c r="C16" s="111">
        <v>3600.0</v>
      </c>
      <c r="D16" s="109" t="s">
        <v>571</v>
      </c>
      <c r="E16" s="111">
        <v>1800.0</v>
      </c>
      <c r="F16" s="111">
        <v>3.0</v>
      </c>
    </row>
    <row r="17">
      <c r="A17" s="109" t="s">
        <v>572</v>
      </c>
      <c r="B17" s="109" t="s">
        <v>571</v>
      </c>
      <c r="C17" s="111">
        <v>2400.0</v>
      </c>
      <c r="D17" s="109" t="s">
        <v>572</v>
      </c>
      <c r="E17" s="111">
        <v>1200.0</v>
      </c>
      <c r="F17" s="113">
        <v>46115.0</v>
      </c>
    </row>
    <row r="18">
      <c r="A18" s="109" t="s">
        <v>573</v>
      </c>
      <c r="B18" s="109" t="s">
        <v>572</v>
      </c>
      <c r="C18" s="111">
        <v>1200.0</v>
      </c>
      <c r="D18" s="109" t="s">
        <v>13</v>
      </c>
      <c r="E18" s="111">
        <v>1200.0</v>
      </c>
      <c r="F18" s="111">
        <v>1.0</v>
      </c>
    </row>
    <row r="19">
      <c r="A19" s="109" t="s">
        <v>574</v>
      </c>
      <c r="B19" s="109" t="s">
        <v>569</v>
      </c>
      <c r="C19" s="111">
        <v>3600.0</v>
      </c>
      <c r="D19" s="109" t="s">
        <v>575</v>
      </c>
      <c r="E19" s="111">
        <v>1800.0</v>
      </c>
      <c r="F19" s="111">
        <v>3.0</v>
      </c>
    </row>
    <row r="20">
      <c r="A20" s="109" t="s">
        <v>576</v>
      </c>
      <c r="B20" s="109" t="s">
        <v>575</v>
      </c>
      <c r="C20" s="111">
        <v>1800.0</v>
      </c>
      <c r="D20" s="109" t="s">
        <v>577</v>
      </c>
      <c r="E20" s="111">
        <v>1800.0</v>
      </c>
      <c r="F20" s="111">
        <v>1.0</v>
      </c>
    </row>
    <row r="21">
      <c r="A21" s="109" t="s">
        <v>578</v>
      </c>
      <c r="B21" s="109" t="s">
        <v>579</v>
      </c>
      <c r="C21" s="111">
        <v>3600.0</v>
      </c>
      <c r="D21" s="109" t="s">
        <v>580</v>
      </c>
      <c r="E21" s="111">
        <v>3600.0</v>
      </c>
      <c r="F21" s="113">
        <v>46054.0</v>
      </c>
    </row>
    <row r="22">
      <c r="A22" s="109" t="s">
        <v>581</v>
      </c>
      <c r="B22" s="109" t="s">
        <v>579</v>
      </c>
      <c r="C22" s="111">
        <v>1200.0</v>
      </c>
      <c r="D22" s="109" t="s">
        <v>580</v>
      </c>
      <c r="E22" s="111">
        <v>1200.0</v>
      </c>
      <c r="F22" s="109" t="s">
        <v>582</v>
      </c>
    </row>
    <row r="23">
      <c r="A23" s="109" t="s">
        <v>583</v>
      </c>
      <c r="B23" s="109" t="s">
        <v>580</v>
      </c>
      <c r="C23" s="111">
        <v>2400.0</v>
      </c>
      <c r="D23" s="109" t="s">
        <v>16</v>
      </c>
      <c r="E23" s="111">
        <v>1200.0</v>
      </c>
      <c r="F23" s="109" t="s">
        <v>582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3.25"/>
    <col customWidth="1" min="2" max="2" width="6.5"/>
    <col customWidth="1" min="3" max="3" width="5.13"/>
    <col customWidth="1" min="4" max="4" width="8.88"/>
    <col customWidth="1" min="5" max="5" width="9.0"/>
    <col customWidth="1" min="6" max="6" width="8.88"/>
    <col customWidth="1" min="7" max="7" width="7.88"/>
    <col customWidth="1" min="8" max="8" width="5.13"/>
    <col customWidth="1" min="9" max="9" width="8.88"/>
    <col customWidth="1" min="10" max="11" width="9.5"/>
    <col customWidth="1" min="12" max="13" width="9.63"/>
    <col customWidth="1" min="14" max="14" width="10.25"/>
    <col customWidth="1" min="15" max="15" width="10.0"/>
    <col customWidth="1" min="16" max="18" width="8.88"/>
    <col customWidth="1" min="19" max="19" width="9.75"/>
    <col customWidth="1" min="20" max="20" width="8.88"/>
    <col customWidth="1" min="21" max="22" width="9.0"/>
  </cols>
  <sheetData>
    <row r="1">
      <c r="R1" s="114"/>
      <c r="S1" s="114"/>
      <c r="T1" s="114"/>
      <c r="U1" s="114"/>
      <c r="V1" s="114"/>
      <c r="W1" s="114"/>
      <c r="X1" s="114"/>
      <c r="Y1" s="114"/>
      <c r="Z1" s="114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</sheetData>
  <conditionalFormatting sqref="L1:L1000">
    <cfRule type="colorScale" priority="1">
      <colorScale>
        <cfvo type="min"/>
        <cfvo type="percentile" val="50"/>
        <cfvo type="max"/>
        <color rgb="FFEA4335"/>
        <color rgb="FFFBBC04"/>
        <color rgb="FF34A853"/>
      </colorScale>
    </cfRule>
  </conditionalFormatting>
  <conditionalFormatting sqref="X1:X1000">
    <cfRule type="colorScale" priority="2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J1:J1000">
    <cfRule type="colorScale" priority="3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I1:I1000">
    <cfRule type="colorScale" priority="4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H1:H1000">
    <cfRule type="colorScale" priority="5">
      <colorScale>
        <cfvo type="min"/>
        <cfvo type="formula" val="1"/>
        <cfvo type="formula" val="3"/>
        <color rgb="FF34A853"/>
        <color rgb="FFFBBC04"/>
        <color rgb="FF4285F4"/>
      </colorScale>
    </cfRule>
  </conditionalFormatting>
  <conditionalFormatting sqref="G1:G1000">
    <cfRule type="colorScale" priority="6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F1:F1000">
    <cfRule type="colorScale" priority="7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M1:M1000">
    <cfRule type="colorScale" priority="8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N1:N1000">
    <cfRule type="colorScale" priority="9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O1:O1000">
    <cfRule type="colorScale" priority="10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P1:P1000">
    <cfRule type="colorScale" priority="11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Q1:Q1000">
    <cfRule type="colorScale" priority="12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R1:R1000">
    <cfRule type="colorScale" priority="13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C1:C1000">
    <cfRule type="colorScale" priority="14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S1:S1000">
    <cfRule type="colorScale" priority="15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T1:T1000">
    <cfRule type="colorScale" priority="16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U1:U1000">
    <cfRule type="colorScale" priority="17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V1:V1000">
    <cfRule type="colorScale" priority="18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W1:W1000">
    <cfRule type="colorScale" priority="19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E1:E1000">
    <cfRule type="colorScale" priority="20">
      <colorScale>
        <cfvo type="min"/>
        <cfvo type="percent" val="50"/>
        <cfvo type="max"/>
        <color rgb="FFEA4335"/>
        <color rgb="FFFBBC04"/>
        <color rgb="FF34A853"/>
      </colorScale>
    </cfRule>
  </conditionalFormatting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38"/>
    <col customWidth="1" min="2" max="2" width="6.5"/>
    <col customWidth="1" min="3" max="3" width="12.13"/>
    <col customWidth="1" min="4" max="4" width="11.13"/>
    <col customWidth="1" min="5" max="5" width="9.5"/>
    <col customWidth="1" min="6" max="6" width="11.13"/>
    <col customWidth="1" min="7" max="7" width="11.5"/>
    <col customWidth="1" min="8" max="8" width="9.75"/>
    <col customWidth="1" min="9" max="9" width="10.88"/>
    <col customWidth="1" min="10" max="10" width="9.5"/>
    <col customWidth="1" min="11" max="11" width="9.38"/>
  </cols>
  <sheetData>
    <row r="1"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conditionalFormatting sqref="H1:H1000">
    <cfRule type="colorScale" priority="1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I1:I1000">
    <cfRule type="colorScale" priority="2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G1:G1000">
    <cfRule type="colorScale" priority="3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J1:J1000">
    <cfRule type="colorScale" priority="4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K1:K1000">
    <cfRule type="colorScale" priority="5">
      <colorScale>
        <cfvo type="min"/>
        <cfvo type="percent" val="50"/>
        <cfvo type="max"/>
        <color rgb="FFEA4335"/>
        <color rgb="FFFBBC04"/>
        <color rgb="FF34A853"/>
      </colorScale>
    </cfRule>
  </conditionalFormatting>
  <conditionalFormatting sqref="F1:F1000">
    <cfRule type="colorScale" priority="6">
      <colorScale>
        <cfvo type="formula" val="0.2"/>
        <cfvo type="formula" val="1"/>
        <cfvo type="formula" val="2"/>
        <color rgb="FF4A86E8"/>
        <color rgb="FFFBBC04"/>
        <color rgb="FF34A853"/>
      </colorScale>
    </cfRule>
  </conditionalFormatting>
  <drawing r:id="rId2"/>
</worksheet>
</file>